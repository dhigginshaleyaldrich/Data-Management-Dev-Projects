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426"/>
  <workbookPr showInkAnnotation="0" defaultThemeVersion="124226"/>
  <mc:AlternateContent xmlns:mc="http://schemas.openxmlformats.org/markup-compatibility/2006">
    <mc:Choice Requires="x15">
      <x15ac:absPath xmlns:x15ac="http://schemas.microsoft.com/office/spreadsheetml/2010/11/ac" url="C:\Users\dhiggins\Documents\GitHub\Data-Management-Dev-Projects\"/>
    </mc:Choice>
  </mc:AlternateContent>
  <bookViews>
    <workbookView xWindow="3585" yWindow="1035" windowWidth="15615" windowHeight="6045" activeTab="1"/>
  </bookViews>
  <sheets>
    <sheet name="Risk Table" sheetId="11" r:id="rId1"/>
    <sheet name="Impact and Probability Metrics" sheetId="2" r:id="rId2"/>
    <sheet name="Data Validation Sheet" sheetId="4" r:id="rId3"/>
  </sheets>
  <externalReferences>
    <externalReference r:id="rId4"/>
  </externalReferences>
  <definedNames>
    <definedName name="_xlnm._FilterDatabase" localSheetId="0" hidden="1">'Risk Table'!$A$11:$T$11</definedName>
    <definedName name="actionplan" localSheetId="0">'Data Validation Sheet'!#REF!</definedName>
    <definedName name="actionplan">'Data Validation Sheet'!#REF!</definedName>
    <definedName name="ImpactRating">'Impact and Probability Metrics'!$D$17:$H$18</definedName>
    <definedName name="iriskowner">'Data Validation Sheet'!$B$5:$B$24</definedName>
    <definedName name="iriskowner2">'Data Validation Sheet'!$B$5:$B$24</definedName>
    <definedName name="outcome">'Data Validation Sheet'!$D$26:$D$35</definedName>
    <definedName name="rimp">'Data Validation Sheet'!$L$5:$L$9</definedName>
    <definedName name="rimpact">'Data Validation Sheet'!$J$5:$K$9</definedName>
    <definedName name="rimpactnumber">'Data Validation Sheet'!$L$5:$L$9</definedName>
    <definedName name="riskowner" localSheetId="0">'Data Validation Sheet'!#REF!</definedName>
    <definedName name="riskowner">'Data Validation Sheet'!#REF!</definedName>
    <definedName name="rmayoccurin">'Data Validation Sheet'!$D$5:$D$8</definedName>
    <definedName name="rprob">'Data Validation Sheet'!$I$5:$I$9</definedName>
    <definedName name="rprobability">'Data Validation Sheet'!$G$5:$H$9</definedName>
    <definedName name="rstakeholder" localSheetId="0">'Data Validation Sheet'!#REF!</definedName>
    <definedName name="rstakeholder">'Data Validation Sheet'!#REF!</definedName>
    <definedName name="rstrategy">'Data Validation Sheet'!$B$28:$B$35</definedName>
  </definedNames>
  <calcPr calcId="171027"/>
</workbook>
</file>

<file path=xl/calcChain.xml><?xml version="1.0" encoding="utf-8"?>
<calcChain xmlns="http://schemas.openxmlformats.org/spreadsheetml/2006/main">
  <c r="A12" i="11" l="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L33" i="11" l="1"/>
  <c r="L34" i="11"/>
  <c r="L35" i="11"/>
  <c r="L36" i="11"/>
  <c r="L37" i="11"/>
  <c r="L38" i="11"/>
  <c r="L39"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L101" i="11"/>
  <c r="L102" i="11"/>
  <c r="L103" i="11"/>
  <c r="L104" i="11"/>
  <c r="L105" i="11"/>
  <c r="L106" i="11"/>
  <c r="L107" i="11"/>
  <c r="L108" i="11"/>
  <c r="L109" i="11"/>
  <c r="L110" i="11"/>
  <c r="L111" i="11"/>
  <c r="L112" i="11"/>
  <c r="L113" i="11"/>
  <c r="M33" i="11"/>
  <c r="M34" i="11"/>
  <c r="M35" i="11"/>
  <c r="M36" i="11"/>
  <c r="M37" i="11"/>
  <c r="M38" i="11"/>
  <c r="M39" i="11"/>
  <c r="M40" i="11"/>
  <c r="M41" i="11"/>
  <c r="M42" i="11"/>
  <c r="N42" i="11" s="1"/>
  <c r="M43" i="11"/>
  <c r="M44" i="11"/>
  <c r="N44" i="11" s="1"/>
  <c r="M45" i="11"/>
  <c r="M46" i="11"/>
  <c r="N46" i="11" s="1"/>
  <c r="M47" i="11"/>
  <c r="M48" i="11"/>
  <c r="N48" i="11" s="1"/>
  <c r="M49" i="11"/>
  <c r="M50" i="11"/>
  <c r="N50" i="11" s="1"/>
  <c r="M51" i="11"/>
  <c r="M52" i="11"/>
  <c r="N52" i="11" s="1"/>
  <c r="M53" i="11"/>
  <c r="M54" i="11"/>
  <c r="N54" i="11" s="1"/>
  <c r="M55" i="11"/>
  <c r="M56" i="11"/>
  <c r="N56" i="11" s="1"/>
  <c r="M57" i="11"/>
  <c r="M58" i="11"/>
  <c r="N58" i="11" s="1"/>
  <c r="M59" i="11"/>
  <c r="M60" i="11"/>
  <c r="N60" i="11" s="1"/>
  <c r="M61" i="11"/>
  <c r="M62" i="11"/>
  <c r="N62" i="11" s="1"/>
  <c r="M63" i="11"/>
  <c r="M64" i="11"/>
  <c r="N64" i="11" s="1"/>
  <c r="M65" i="11"/>
  <c r="M66" i="11"/>
  <c r="N66" i="11" s="1"/>
  <c r="M67" i="11"/>
  <c r="M68" i="11"/>
  <c r="N68" i="11" s="1"/>
  <c r="M69" i="11"/>
  <c r="M70" i="11"/>
  <c r="N70" i="11" s="1"/>
  <c r="M71" i="11"/>
  <c r="M72" i="11"/>
  <c r="N72" i="11" s="1"/>
  <c r="M73" i="11"/>
  <c r="M74" i="11"/>
  <c r="N74" i="11" s="1"/>
  <c r="M75" i="11"/>
  <c r="M76" i="11"/>
  <c r="N76" i="11" s="1"/>
  <c r="M77" i="11"/>
  <c r="M78" i="11"/>
  <c r="N78" i="11" s="1"/>
  <c r="M79" i="11"/>
  <c r="M80" i="11"/>
  <c r="N80" i="11" s="1"/>
  <c r="M81" i="11"/>
  <c r="M82" i="11"/>
  <c r="N82" i="11" s="1"/>
  <c r="M83" i="11"/>
  <c r="M84" i="11"/>
  <c r="N84" i="11" s="1"/>
  <c r="M85" i="11"/>
  <c r="M86" i="11"/>
  <c r="N86" i="11" s="1"/>
  <c r="M87" i="11"/>
  <c r="M88" i="11"/>
  <c r="N88" i="11" s="1"/>
  <c r="M89" i="11"/>
  <c r="M90" i="11"/>
  <c r="N90" i="11" s="1"/>
  <c r="M91" i="11"/>
  <c r="M92" i="11"/>
  <c r="N92" i="11" s="1"/>
  <c r="M93" i="11"/>
  <c r="M94" i="11"/>
  <c r="N94" i="11" s="1"/>
  <c r="M95" i="11"/>
  <c r="M96" i="11"/>
  <c r="N96" i="11" s="1"/>
  <c r="M97" i="11"/>
  <c r="M98" i="11"/>
  <c r="N98" i="11" s="1"/>
  <c r="M99" i="11"/>
  <c r="M100" i="11"/>
  <c r="N100" i="11" s="1"/>
  <c r="M101" i="11"/>
  <c r="M102" i="11"/>
  <c r="N102" i="11" s="1"/>
  <c r="M103" i="11"/>
  <c r="M104" i="11"/>
  <c r="N104" i="11" s="1"/>
  <c r="M105" i="11"/>
  <c r="M106" i="11"/>
  <c r="N106" i="11" s="1"/>
  <c r="M107" i="11"/>
  <c r="M108" i="11"/>
  <c r="N108" i="11" s="1"/>
  <c r="M109" i="11"/>
  <c r="M110" i="11"/>
  <c r="N110" i="11" s="1"/>
  <c r="M111" i="11"/>
  <c r="M112" i="11"/>
  <c r="N112" i="11" s="1"/>
  <c r="M113" i="11"/>
  <c r="N41" i="11"/>
  <c r="N43" i="11"/>
  <c r="N45" i="11"/>
  <c r="N47" i="11"/>
  <c r="N49" i="11"/>
  <c r="N51" i="11"/>
  <c r="N53" i="11"/>
  <c r="N55" i="11"/>
  <c r="N57" i="11"/>
  <c r="N59" i="11"/>
  <c r="N61" i="11"/>
  <c r="N63" i="11"/>
  <c r="N65" i="11"/>
  <c r="N67" i="11"/>
  <c r="N69" i="11"/>
  <c r="N71" i="11"/>
  <c r="N73" i="11"/>
  <c r="N75" i="11"/>
  <c r="N77" i="11"/>
  <c r="N79" i="11"/>
  <c r="N81" i="11"/>
  <c r="N83" i="11"/>
  <c r="N85" i="11"/>
  <c r="N87" i="11"/>
  <c r="N89" i="11"/>
  <c r="N91" i="11"/>
  <c r="N93" i="11"/>
  <c r="N95" i="11"/>
  <c r="N97" i="11"/>
  <c r="N99" i="11"/>
  <c r="N101" i="11"/>
  <c r="N103" i="11"/>
  <c r="N105" i="11"/>
  <c r="N107" i="11"/>
  <c r="N109" i="11"/>
  <c r="N111" i="11"/>
  <c r="N113" i="11"/>
  <c r="N40" i="11" l="1"/>
  <c r="N39" i="11"/>
  <c r="N38" i="11"/>
  <c r="N37" i="11"/>
  <c r="N36" i="11"/>
  <c r="N35" i="11"/>
  <c r="N34" i="11"/>
  <c r="N33" i="11"/>
  <c r="M32" i="11"/>
  <c r="L32" i="11"/>
  <c r="M31" i="11"/>
  <c r="L31" i="11"/>
  <c r="M30" i="11"/>
  <c r="L30" i="11"/>
  <c r="M29" i="11"/>
  <c r="L29" i="11"/>
  <c r="M28" i="11"/>
  <c r="L28" i="11"/>
  <c r="M27" i="11"/>
  <c r="L27" i="11"/>
  <c r="M26" i="11"/>
  <c r="L26" i="11"/>
  <c r="M25" i="11"/>
  <c r="L25" i="11"/>
  <c r="M24" i="11"/>
  <c r="L24" i="11"/>
  <c r="M23" i="11"/>
  <c r="L23" i="11"/>
  <c r="M22" i="11"/>
  <c r="L22" i="11"/>
  <c r="M21" i="11"/>
  <c r="L21" i="11"/>
  <c r="M20" i="11"/>
  <c r="L20" i="11"/>
  <c r="M19" i="11"/>
  <c r="L19" i="11"/>
  <c r="M18" i="11"/>
  <c r="L18" i="11"/>
  <c r="M17" i="11"/>
  <c r="L17" i="11"/>
  <c r="M16" i="11"/>
  <c r="L16" i="11"/>
  <c r="M15" i="11"/>
  <c r="L15" i="11"/>
  <c r="M14" i="11"/>
  <c r="L14" i="11"/>
  <c r="M13" i="11"/>
  <c r="L13" i="11"/>
  <c r="M12" i="11"/>
  <c r="N12" i="11" s="1"/>
  <c r="L12" i="11"/>
  <c r="K9" i="4"/>
  <c r="J9" i="4"/>
  <c r="L9" i="4"/>
  <c r="G9" i="4"/>
  <c r="I9" i="4"/>
  <c r="K8" i="4"/>
  <c r="J8" i="4"/>
  <c r="G8" i="4"/>
  <c r="I8" i="4"/>
  <c r="K7" i="4"/>
  <c r="J7" i="4"/>
  <c r="G7" i="4"/>
  <c r="I7" i="4"/>
  <c r="K6" i="4"/>
  <c r="L6" i="4"/>
  <c r="J6" i="4"/>
  <c r="G6" i="4"/>
  <c r="I6" i="4"/>
  <c r="K5" i="4"/>
  <c r="J5" i="4"/>
  <c r="G5" i="4"/>
  <c r="I5" i="4"/>
  <c r="L7" i="4"/>
  <c r="L8" i="4"/>
  <c r="L5" i="4"/>
  <c r="N32" i="11" l="1"/>
  <c r="N31" i="11"/>
  <c r="N30" i="11"/>
  <c r="N29" i="11"/>
  <c r="N28" i="11"/>
  <c r="N27" i="11"/>
  <c r="N26" i="11"/>
  <c r="N25" i="11"/>
  <c r="N24" i="11"/>
  <c r="N23" i="11"/>
  <c r="N22" i="11"/>
  <c r="N21" i="11"/>
  <c r="N20" i="11"/>
  <c r="N18" i="11"/>
  <c r="N19" i="11"/>
  <c r="N17" i="11"/>
  <c r="N16" i="11"/>
  <c r="N15" i="11"/>
  <c r="N14" i="11"/>
  <c r="N13" i="11"/>
</calcChain>
</file>

<file path=xl/comments1.xml><?xml version="1.0" encoding="utf-8"?>
<comments xmlns="http://schemas.openxmlformats.org/spreadsheetml/2006/main">
  <authors>
    <author>NJDOT</author>
  </authors>
  <commentList>
    <comment ref="L11" authorId="0" shapeId="0">
      <text>
        <r>
          <rPr>
            <b/>
            <sz val="8"/>
            <color indexed="81"/>
            <rFont val="Tahoma"/>
            <family val="2"/>
          </rPr>
          <t>Schedule Score = Probability * Schedule Impact</t>
        </r>
      </text>
    </comment>
    <comment ref="M11" authorId="0" shapeId="0">
      <text>
        <r>
          <rPr>
            <b/>
            <sz val="8"/>
            <color indexed="81"/>
            <rFont val="Tahoma"/>
            <family val="2"/>
          </rPr>
          <t>Cost Score = Probability * Cost Impact</t>
        </r>
      </text>
    </comment>
    <comment ref="N11" authorId="0" shapeId="0">
      <text>
        <r>
          <rPr>
            <b/>
            <sz val="8"/>
            <color indexed="81"/>
            <rFont val="Tahoma"/>
            <family val="2"/>
          </rPr>
          <t>Final Score = Schedule Score + Cost Score</t>
        </r>
      </text>
    </comment>
    <comment ref="Q11" authorId="0" shapeId="0">
      <text>
        <r>
          <rPr>
            <sz val="8"/>
            <color indexed="81"/>
            <rFont val="Tahoma"/>
            <family val="2"/>
          </rPr>
          <t xml:space="preserve">Note that each response strategy should be revisited and updated as the project progresses.
</t>
        </r>
        <r>
          <rPr>
            <b/>
            <u/>
            <sz val="8"/>
            <color indexed="81"/>
            <rFont val="Tahoma"/>
            <family val="2"/>
          </rPr>
          <t>Threats</t>
        </r>
        <r>
          <rPr>
            <sz val="8"/>
            <color indexed="81"/>
            <rFont val="Tahoma"/>
            <family val="2"/>
          </rPr>
          <t xml:space="preserve">
</t>
        </r>
        <r>
          <rPr>
            <b/>
            <sz val="8"/>
            <color indexed="81"/>
            <rFont val="Tahoma"/>
            <family val="2"/>
          </rPr>
          <t>Avoid Threat</t>
        </r>
        <r>
          <rPr>
            <sz val="8"/>
            <color indexed="81"/>
            <rFont val="Tahoma"/>
            <family val="2"/>
          </rPr>
          <t xml:space="preserve"> - Risk can be avoided by removing the cause of the risk or executing the project in a different way while still aiming to achieve project objectives. Not all risks can be avoided or eliminated, and for others, this approach may be too expensive or time‐consuming. However, this should be the first strategy considered.
</t>
        </r>
        <r>
          <rPr>
            <b/>
            <sz val="8"/>
            <color indexed="81"/>
            <rFont val="Tahoma"/>
            <family val="2"/>
          </rPr>
          <t>Transfer Threat</t>
        </r>
        <r>
          <rPr>
            <sz val="8"/>
            <color indexed="81"/>
            <rFont val="Tahoma"/>
            <family val="2"/>
          </rPr>
          <t xml:space="preserve"> - Transferring risk involves finding another party who is willing to take responsibility for its management, and who will bear the liability of the risk should it occur. The aim is to ensure that the risk is owned and managed by the party best able to deal with it effectively. Risk transfer usually involves payment of a premium, and the cost‐effectiveness of this must be considered when deciding whether to adopt a transfer strategy.
</t>
        </r>
        <r>
          <rPr>
            <b/>
            <sz val="8"/>
            <color indexed="81"/>
            <rFont val="Tahoma"/>
            <family val="2"/>
          </rPr>
          <t>Mitigate Threat</t>
        </r>
        <r>
          <rPr>
            <sz val="8"/>
            <color indexed="81"/>
            <rFont val="Tahoma"/>
            <family val="2"/>
          </rPr>
          <t xml:space="preserve"> - Risk mitigation reduces the probability and/or impact of an adverse risk event to an acceptable threshold. Taking early action to  reduce the probability and/or impact of a risk is often more effective than trying to repair the damage after the risk has occurred. Risk mitigation may require resources or time and thus presents a tradeoff between doing nothing versus the cost of mitigating the risk.
</t>
        </r>
        <r>
          <rPr>
            <b/>
            <u/>
            <sz val="8"/>
            <color indexed="81"/>
            <rFont val="Tahoma"/>
            <family val="2"/>
          </rPr>
          <t>Opportunities</t>
        </r>
        <r>
          <rPr>
            <sz val="8"/>
            <color indexed="81"/>
            <rFont val="Tahoma"/>
            <family val="2"/>
          </rPr>
          <t xml:space="preserve">
</t>
        </r>
        <r>
          <rPr>
            <b/>
            <sz val="8"/>
            <color indexed="81"/>
            <rFont val="Tahoma"/>
            <family val="2"/>
          </rPr>
          <t>Exploit Opportunity</t>
        </r>
        <r>
          <rPr>
            <sz val="8"/>
            <color indexed="81"/>
            <rFont val="Tahoma"/>
            <family val="2"/>
          </rPr>
          <t xml:space="preserve"> - The aim is to ensure that the opportunity is realized. This strategy seeks to eliminate the uncertainty associated with a particular upside risk by making the opportunity definitely happen. Exploit is an aggressive response strategy, best reserved for those “golden opportunities” having high probability and impacts.
</t>
        </r>
        <r>
          <rPr>
            <b/>
            <sz val="8"/>
            <color indexed="81"/>
            <rFont val="Tahoma"/>
            <family val="2"/>
          </rPr>
          <t>Share Opportunity</t>
        </r>
        <r>
          <rPr>
            <sz val="8"/>
            <color indexed="81"/>
            <rFont val="Tahoma"/>
            <family val="2"/>
          </rPr>
          <t xml:space="preserve"> - Allocate risk ownership of an opportunity to another party who is best able to maximize its probability of occurrence and increase the potential benefits if it does occur. Transferring threats and sharing opportunities are similar in that a third party is used. Those to whom threats are transferred take on the liability and those to whom opportunities are allocated should be allowed to share in the potential benefits.
</t>
        </r>
        <r>
          <rPr>
            <b/>
            <sz val="8"/>
            <color indexed="81"/>
            <rFont val="Tahoma"/>
            <family val="2"/>
          </rPr>
          <t>Enhance Opportunity</t>
        </r>
        <r>
          <rPr>
            <sz val="8"/>
            <color indexed="81"/>
            <rFont val="Tahoma"/>
            <family val="2"/>
          </rPr>
          <t xml:space="preserve"> - This response aims to modify the “size” of the positive risk. The opportunity is enhanced by increasing its probability and/or impact, thereby maximizing benefits realized for the project. If the probability can be increased to 100 percent, this is effectively an exploit response.
</t>
        </r>
        <r>
          <rPr>
            <b/>
            <u/>
            <sz val="8"/>
            <color indexed="81"/>
            <rFont val="Tahoma"/>
            <family val="2"/>
          </rPr>
          <t>Threats and Opportunities</t>
        </r>
        <r>
          <rPr>
            <sz val="8"/>
            <color indexed="81"/>
            <rFont val="Tahoma"/>
            <family val="2"/>
          </rPr>
          <t xml:space="preserve">
</t>
        </r>
        <r>
          <rPr>
            <b/>
            <sz val="8"/>
            <color indexed="81"/>
            <rFont val="Tahoma"/>
            <family val="2"/>
          </rPr>
          <t>Accept Threat or Opportunity</t>
        </r>
        <r>
          <rPr>
            <sz val="8"/>
            <color indexed="81"/>
            <rFont val="Tahoma"/>
            <family val="2"/>
          </rPr>
          <t xml:space="preserve"> - This strategy is adopted when it is not possible or practical to respond to the risk by the other strategies, or a response is not warranted by the importance of the risk. When the project manager and the project team decide to accept a risk, they are agreeing to address the risk if and when it occurs. A contingency plan, workaround plan and/or contingency reserve may be developed for that eventuality.
</t>
        </r>
      </text>
    </comment>
  </commentList>
</comments>
</file>

<file path=xl/sharedStrings.xml><?xml version="1.0" encoding="utf-8"?>
<sst xmlns="http://schemas.openxmlformats.org/spreadsheetml/2006/main" count="486" uniqueCount="198">
  <si>
    <t>Designer:</t>
  </si>
  <si>
    <t>Project Manager:</t>
  </si>
  <si>
    <t>UPC No.:</t>
  </si>
  <si>
    <t>Initial Register Date:</t>
  </si>
  <si>
    <t>Risk Rank &amp; ID</t>
  </si>
  <si>
    <t>Risk Statement &amp; Category</t>
  </si>
  <si>
    <t>Risk Analysis Matrix</t>
  </si>
  <si>
    <t>Risk Rank</t>
  </si>
  <si>
    <t>Risk Statement</t>
  </si>
  <si>
    <t>Risk May Occur In</t>
  </si>
  <si>
    <t>Risk Probability</t>
  </si>
  <si>
    <t>Schedule</t>
  </si>
  <si>
    <t>Cost</t>
  </si>
  <si>
    <t>Risk Impact</t>
  </si>
  <si>
    <t>Risk Response Strategy &amp; Response Planning</t>
  </si>
  <si>
    <t>Project Name:</t>
  </si>
  <si>
    <t>Risk Response Strategy</t>
  </si>
  <si>
    <t>Risk Response Action Plan</t>
  </si>
  <si>
    <t>Probability</t>
  </si>
  <si>
    <t>Risk Category</t>
  </si>
  <si>
    <t>Impact Definitions</t>
  </si>
  <si>
    <t>Rating --&gt;</t>
  </si>
  <si>
    <t>Very Low</t>
  </si>
  <si>
    <t>Low</t>
  </si>
  <si>
    <t>Moderate</t>
  </si>
  <si>
    <t>High</t>
  </si>
  <si>
    <t>Very High</t>
  </si>
  <si>
    <t xml:space="preserve">Cost Impact of Threat </t>
  </si>
  <si>
    <t>Insignificant cost increase</t>
  </si>
  <si>
    <t>&lt;5% cost increase</t>
  </si>
  <si>
    <t>5-10% cost increase</t>
  </si>
  <si>
    <t>10-20% cost increase</t>
  </si>
  <si>
    <t>&gt;20% cost increase</t>
  </si>
  <si>
    <t>Cost Impact of Opportunity</t>
  </si>
  <si>
    <t>Insignificant cost reduction</t>
  </si>
  <si>
    <t>&lt;1% cost decrease</t>
  </si>
  <si>
    <t>1-3% cost decrease</t>
  </si>
  <si>
    <t>3-5% cost decrease</t>
  </si>
  <si>
    <t>&gt;5% cost decrease</t>
  </si>
  <si>
    <t>Schedule Impact of Threat</t>
  </si>
  <si>
    <t>Insignificant slippage</t>
  </si>
  <si>
    <t>&lt;1 month slippage</t>
  </si>
  <si>
    <t>1-3 months slippage</t>
  </si>
  <si>
    <t>3-6 months slippage</t>
  </si>
  <si>
    <t>&gt;6 months slippage</t>
  </si>
  <si>
    <t>Schedule Impact of Opportunity</t>
  </si>
  <si>
    <t>Insignificant improvement</t>
  </si>
  <si>
    <t>&lt;1 month improvement</t>
  </si>
  <si>
    <t>1-2 months improvement</t>
  </si>
  <si>
    <t>2-3 months improvement</t>
  </si>
  <si>
    <t>&gt;3 months improvement</t>
  </si>
  <si>
    <t>1–9%</t>
  </si>
  <si>
    <t>10–19%</t>
  </si>
  <si>
    <t>20–39%</t>
  </si>
  <si>
    <t>40–59%</t>
  </si>
  <si>
    <t>60–99%</t>
  </si>
  <si>
    <t>Risk Matrix</t>
  </si>
  <si>
    <t>Probability Rating</t>
  </si>
  <si>
    <t>Impact Rating</t>
  </si>
  <si>
    <t>Probability and impacts pulls numbers from the impact and probability matrix, then concatenates the number and word to use in the matrix</t>
  </si>
  <si>
    <t>Project Management</t>
  </si>
  <si>
    <t>Community Relations</t>
  </si>
  <si>
    <t>Concept Development</t>
  </si>
  <si>
    <t>Preliminary Engineering</t>
  </si>
  <si>
    <t>Final Design</t>
  </si>
  <si>
    <t>Construction</t>
  </si>
  <si>
    <t>Avoid Threat</t>
  </si>
  <si>
    <t>Mitigate Threat</t>
  </si>
  <si>
    <t>Transfer Threat</t>
  </si>
  <si>
    <t>Accept Threat</t>
  </si>
  <si>
    <t>Exploit Opportunity</t>
  </si>
  <si>
    <t>Share Opportunity</t>
  </si>
  <si>
    <t>Enhance Opportunity</t>
  </si>
  <si>
    <t>Accept Opportunity</t>
  </si>
  <si>
    <t>Risk Strategy - rstrategy</t>
  </si>
  <si>
    <t>rprob</t>
  </si>
  <si>
    <t>rimp</t>
  </si>
  <si>
    <t>Other</t>
  </si>
  <si>
    <t>5 - Very High</t>
  </si>
  <si>
    <t>3 - Moderate</t>
  </si>
  <si>
    <t>2 - Low</t>
  </si>
  <si>
    <t>4 - High</t>
  </si>
  <si>
    <t>1 - Very Low</t>
  </si>
  <si>
    <t>Cost
Score</t>
  </si>
  <si>
    <t>Schedule
Score</t>
  </si>
  <si>
    <t>Final
Score</t>
  </si>
  <si>
    <t>Unique ID #</t>
  </si>
  <si>
    <t>Last Register Update:</t>
  </si>
  <si>
    <t>Risk May Occur In - rmayoccurin</t>
  </si>
  <si>
    <t>Environmental</t>
  </si>
  <si>
    <t>Utilities</t>
  </si>
  <si>
    <t>Survey</t>
  </si>
  <si>
    <t>Procurement</t>
  </si>
  <si>
    <t>Quantitative Risk Analysis Worksheet</t>
  </si>
  <si>
    <t>Cost Impact
($)</t>
  </si>
  <si>
    <t>Schedule Impact (Days)</t>
  </si>
  <si>
    <t>Quantitative Risk Impact</t>
  </si>
  <si>
    <t>Initial Risk Owner - iriskowner</t>
  </si>
  <si>
    <t>Jurisdiction</t>
  </si>
  <si>
    <t>Initial Risk Owner</t>
  </si>
  <si>
    <t>The dropdowns are utilizing "named ranges" each list here is named accordingly, e.g. Initial Risk Owner is iriskowner</t>
  </si>
  <si>
    <t>Geotechnical</t>
  </si>
  <si>
    <t>4 - Moderate</t>
  </si>
  <si>
    <t>CONSTRUCTION  RISK MANAGEMENT</t>
  </si>
  <si>
    <t xml:space="preserve"> </t>
  </si>
  <si>
    <t>Operation &amp; Maintenance</t>
  </si>
  <si>
    <t>Access Agreements</t>
  </si>
  <si>
    <t>Permits &amp; Compliance</t>
  </si>
  <si>
    <t>Safety</t>
  </si>
  <si>
    <t>Engineering</t>
  </si>
  <si>
    <t>PG&amp;E</t>
  </si>
  <si>
    <t>Logistics</t>
  </si>
  <si>
    <t>Waste Management</t>
  </si>
  <si>
    <t>Responsible Person</t>
  </si>
  <si>
    <t>Review Date</t>
  </si>
  <si>
    <t>EnterpriseProject Job No.:</t>
  </si>
  <si>
    <t>PG&amp;E Project #:</t>
  </si>
  <si>
    <t>Risk Consequnces</t>
  </si>
  <si>
    <t>As a result of nonconforming work and defects discovered pre and post acceptance can result in remedy failure or non compliance.</t>
  </si>
  <si>
    <t>The consequnces of this risk include:
Project Delay
Additional Cost
Additional Engineering</t>
  </si>
  <si>
    <t>This will occur risk adherence to the overall CQA plan. While HCS is on site the CM will need to assure that the subcontractor is complying with the specifications and communicating progress with the field engineer to assure that the subcontractor has coimplied with the CQA plan and the requirements of the specifications.</t>
  </si>
  <si>
    <t>Delays may be expereinced as it relates to the loss, destruction, or damage to construction equipment, project facilties, mix plant, etc.</t>
  </si>
  <si>
    <t>The consequences of this risk is project delay associated with repairs or purchase of impacted equipment.</t>
  </si>
  <si>
    <t>Subcontractors</t>
  </si>
  <si>
    <t>Contractural transfer the risk for secuirty to the Subcontractor.</t>
  </si>
  <si>
    <t>As a result of the presence subsurface debris and other differing subsurface conditions typically present on MGP sites will impact the installation of the Secant Pile Wall and ISS actitivities.</t>
  </si>
  <si>
    <t>As a result of subsurface debris near the existing sheet pile wall will require the site to be pre-excavated prior to the driving of the sheet pile wall as proposed for the alternative approach.</t>
  </si>
  <si>
    <t>The consequences of this delay include:
Schedule Impacts - associated with the removal of excessive subsurface debris
Cost Impacts - associated with the removal of excessive subsurface debris
Safety Issues</t>
  </si>
  <si>
    <t>Consequnces of this risk include costs associated with a change order for additional time and money associated with having to pre-excavate the area for the alternative sheet pile design.</t>
  </si>
  <si>
    <t xml:space="preserve">The alternative design has been approved and has resulted in an overall positive change in project. </t>
  </si>
  <si>
    <t>This is an opportuntitic risk that will result in a cost savings a a decrease in project time.</t>
  </si>
  <si>
    <t>7 - High</t>
  </si>
  <si>
    <t>Improper location of subsurface utilities that need to be terminated or relocated prior to construction…</t>
  </si>
  <si>
    <t>Area of Project Risk</t>
  </si>
  <si>
    <t>Executive Management</t>
  </si>
  <si>
    <t>Design</t>
  </si>
  <si>
    <t>Contract/Scope</t>
  </si>
  <si>
    <t>Quality</t>
  </si>
  <si>
    <t>Areas of Project Risk - apr</t>
  </si>
  <si>
    <t>Unions do not have enough qualified staff on the bench to meet the needs of the project</t>
  </si>
  <si>
    <t>Subcontractors reject payment terms on HCS Subcontract Agreement</t>
  </si>
  <si>
    <t>As a result of inadequte survey data resulting in inadequate survey control.</t>
  </si>
  <si>
    <t xml:space="preserve">Site specific agreements can be </t>
  </si>
  <si>
    <t>Strong Copntract with subcontractor and good quality control during the design and pilot stage of the work.</t>
  </si>
  <si>
    <t>Deolay in project, additional costs, termination of the contract, costs incurreed to date.</t>
  </si>
  <si>
    <t>Strikes/Labor Disputes, Protestor Actions</t>
  </si>
  <si>
    <t>Delay, additional costs, damage</t>
  </si>
  <si>
    <t>Risk Status</t>
  </si>
  <si>
    <t>Risk Status - rs</t>
  </si>
  <si>
    <t>Open</t>
  </si>
  <si>
    <t>Closed</t>
  </si>
  <si>
    <t>Dormant</t>
  </si>
  <si>
    <t>Failure/Inadequate design and/or non-compliance with design standards and criteria</t>
  </si>
  <si>
    <t>Damage to work, delays, additional design, contruction and/or O&amp;M costs</t>
  </si>
  <si>
    <t>Prolonged contract negotiation.</t>
  </si>
  <si>
    <t xml:space="preserve">Weather will impact construction </t>
  </si>
  <si>
    <t>Weather can cause project delays that may have an impact on cost and comletion time.</t>
  </si>
  <si>
    <t>Based upon NOAA weather data for the City of San Francisco the area of the Potrero Power Plant will experince 20.8 days of weather in which it will rain more than 0.5 inches in a day. This represents approx 14.9% of the total raindays in this area.</t>
  </si>
  <si>
    <t>Force majeure (natural catastrophes (earthquakes), war, sbootage, terroism)</t>
  </si>
  <si>
    <t>Using newly collected data and evolving theories of earthquake occurrence, U.S. Geological Survey and other scientists now conclude that there is a 63% probability of at least one magnitude 6.7 or greater quake, capable of causing widespread damage, striking somewhere in the San Francisco Bay region in the next 30 years. Such an earthquake is most likely to occur on one of seven main fault systems. The earthquake probability is highest for the Hayward-Rodgers Creek Fault system, 31%, or nearly 1 out of 3.</t>
  </si>
  <si>
    <t>10 - Very High</t>
  </si>
  <si>
    <t>As a result of the volumes of information the PG&amp;E Team needs to have a clear understanding of the delveribles associated with the specifications, prgram requirements, etc.</t>
  </si>
  <si>
    <t>The possibility will exist that project submittals, deliverables, permits, etc., could be left out of the construction phase of the work.</t>
  </si>
  <si>
    <t>Scope creep later in the project may cause changes in the RFP scope that will impact the overall project cost and schedule.</t>
  </si>
  <si>
    <t>Project estimate from bidders exceeds the accrual set aside for this project.</t>
  </si>
  <si>
    <t>As a result of union work a negative or gotcha safety culture may occur.</t>
  </si>
  <si>
    <t>Project staff  not available, are inadequate or inexperienced</t>
  </si>
  <si>
    <t>The ability of bidding contractors to meet the local hiring requirements for trades and truck drivers.</t>
  </si>
  <si>
    <t>Coordiantion and communication difficulties within the project team (Includes PG&amp;E, H&amp;A/HCS, Subcontractors).</t>
  </si>
  <si>
    <t>Internal Red Tape causes delay getting approvals and decisions.</t>
  </si>
  <si>
    <t>Clear responsibility for work to be done by the project team and by the customer was never delegated. Confusioncan lead to delays.</t>
  </si>
  <si>
    <t>Potential long lead items for the project have not been 100% identified by HCS or subcontractors.</t>
  </si>
  <si>
    <t>Locally hired truck drivers have a hard time meeting inspection requirements of NES</t>
  </si>
  <si>
    <t>Constantly monitor the scope of work and document all unapproved changes.</t>
  </si>
  <si>
    <t>All scope changes that cannot be handled by the project management team will be handled by the executive committee.</t>
  </si>
  <si>
    <t>A negative atmpsphere on site may delay or prevent a proactive safety approach.</t>
  </si>
  <si>
    <t>Wrong people may be staffed on projects</t>
  </si>
  <si>
    <t>Lack of critical subsurface information for under water and in water work.</t>
  </si>
  <si>
    <t>Increased project costs, project delays or failure to comply with compliance documents.</t>
  </si>
  <si>
    <t>The inability to meet the local hiring requirements and document the reason the local hiring requirements cannot be achieved may result in fines from the City of San Francisco.</t>
  </si>
  <si>
    <t>These need to be aleviated so as to prevent project misinformation from being spread thrughout th team.</t>
  </si>
  <si>
    <t>Project schedule delay and an increase in cost.</t>
  </si>
  <si>
    <t>Consequnces associted with this will result in information, submittal and RFI delays that may increase cost and time.</t>
  </si>
  <si>
    <t>This will result in increased projuect duration and potentially cost</t>
  </si>
  <si>
    <t>This will decrease the number of available truckers to haul in clean fill and to haul hazardous waste.</t>
  </si>
  <si>
    <t>Committed resources were reassigned to other projects and not replaced.</t>
  </si>
  <si>
    <t>This will result in staff that are unfamiliar with the project causing creating ineffiecency thereby increasing cost and delaying the project.</t>
  </si>
  <si>
    <t>Project is located in an area of high sensitivity. This area includes wetlands, coastel areas, and other potentially environmental and/or culturally senstive areas.</t>
  </si>
  <si>
    <t>The consequences associated with this risk are:
Fines for non-compliance
Work stoppage
Project delays</t>
  </si>
  <si>
    <t>Loren Loo
Gina Plantz</t>
  </si>
  <si>
    <t>Coordination with all stakeholders is required so as to facillitate simoutaneous operations as well as to make sure all stakeholder expectations are achieved. Failure to meet these expectations can present problems on the project.</t>
  </si>
  <si>
    <t>As a result of market risk there is a potential that budgets relative to manpower, equipment and materials will be impacted.</t>
  </si>
  <si>
    <t>The job is priced in Deccember 2016 and will start in May 2017. Using the geometric mean for inflation of 3.15% per year or 0.26% per month one should anticpate a minimum of a 1.05% price increase at the start of the project.</t>
  </si>
  <si>
    <t>The job is priced in Deccember 2016 and will start in May 2017. Using the geometric mean for inflation of 3.15% per year or 0.26% per month it should be anticipated that material prices will increase. Most unions and employers are expecting craft labor to increase by 3% in 2017.
According to the EIA fuel prices should remain relatively stable through the first half of 2017.</t>
  </si>
  <si>
    <t>As a result of the demolition of the tank farm it is anticipated that some of the demolition work could become disruptive to the project work occuring on the Potrero site.</t>
  </si>
  <si>
    <t>The site has limited access that needs to be shared. This may disrupt material deliveries and waste hauling  for the Potrero project as well the removal or scrap and other debris associated with the tank farm demolition.</t>
  </si>
  <si>
    <t>As a result of preliminary information the draft pre-construction schedule depicting durations, sequencing phasing and productions rates may not be representative of the work.</t>
  </si>
  <si>
    <t>Organized Labor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</si>
</sst>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4" formatCode="_(&quot;$&quot;* #,##0.00_);_(&quot;$&quot;* \(#,##0.00\);_(&quot;$&quot;* &quot;-&quot;??_);_(@_)"/>
  </numFmts>
  <fonts count="25" x14ac:knownFonts="1">
    <font>
      <sz val="11"/>
      <color theme="1"/>
      <name val="Calibri"/>
      <family val="2"/>
      <scheme val="minor"/>
    </font>
    <font>
      <sz val="10"/>
      <name val="Arial"/>
      <family val="2"/>
    </font>
    <font>
      <b/>
      <sz val="12"/>
      <name val="Arial"/>
      <family val="2"/>
    </font>
    <font>
      <b/>
      <sz val="11"/>
      <name val="Calibri"/>
      <family val="2"/>
    </font>
    <font>
      <sz val="11"/>
      <name val="Calibri"/>
      <family val="2"/>
    </font>
    <font>
      <b/>
      <sz val="10"/>
      <name val="Arial"/>
      <family val="2"/>
    </font>
    <font>
      <b/>
      <sz val="11"/>
      <name val="Arial"/>
      <family val="2"/>
    </font>
    <font>
      <b/>
      <sz val="8"/>
      <color indexed="81"/>
      <name val="Tahoma"/>
      <family val="2"/>
    </font>
    <font>
      <sz val="8"/>
      <color indexed="81"/>
      <name val="Tahoma"/>
      <family val="2"/>
    </font>
    <font>
      <b/>
      <u/>
      <sz val="8"/>
      <color indexed="81"/>
      <name val="Tahoma"/>
      <family val="2"/>
    </font>
    <font>
      <b/>
      <sz val="8"/>
      <color theme="1"/>
      <name val="Segoe UI"/>
      <family val="2"/>
    </font>
    <font>
      <b/>
      <sz val="11"/>
      <color theme="1"/>
      <name val="Calibri"/>
      <family val="2"/>
      <scheme val="minor"/>
    </font>
    <font>
      <b/>
      <sz val="12"/>
      <color rgb="FFFFFFFF"/>
      <name val="Arial"/>
      <family val="2"/>
    </font>
    <font>
      <b/>
      <sz val="12"/>
      <color rgb="FFFFFFFF"/>
      <name val="Calibri"/>
      <family val="2"/>
    </font>
    <font>
      <sz val="10"/>
      <color theme="1"/>
      <name val="Calibri"/>
      <family val="2"/>
      <scheme val="minor"/>
    </font>
    <font>
      <sz val="12"/>
      <color theme="1"/>
      <name val="Calibri"/>
      <family val="2"/>
      <scheme val="minor"/>
    </font>
    <font>
      <b/>
      <sz val="12"/>
      <color theme="1"/>
      <name val="Calibri"/>
      <family val="2"/>
      <scheme val="minor"/>
    </font>
    <font>
      <sz val="9"/>
      <color theme="1"/>
      <name val="Calibri"/>
      <family val="2"/>
      <scheme val="minor"/>
    </font>
    <font>
      <b/>
      <sz val="9"/>
      <color theme="1"/>
      <name val="Calibri"/>
      <family val="2"/>
      <scheme val="minor"/>
    </font>
    <font>
      <i/>
      <sz val="12"/>
      <color theme="1"/>
      <name val="Calibri"/>
      <family val="2"/>
      <scheme val="minor"/>
    </font>
    <font>
      <b/>
      <sz val="20"/>
      <color theme="1"/>
      <name val="Calibri"/>
      <family val="2"/>
      <scheme val="minor"/>
    </font>
    <font>
      <sz val="11"/>
      <color theme="1"/>
      <name val="Calibri"/>
      <family val="2"/>
      <scheme val="minor"/>
    </font>
    <font>
      <sz val="10"/>
      <color theme="1"/>
      <name val="Calibri"/>
      <family val="2"/>
      <scheme val="minor"/>
    </font>
    <font>
      <sz val="11"/>
      <color theme="1"/>
      <name val="Calibri"/>
      <family val="2"/>
      <scheme val="minor"/>
    </font>
    <font>
      <sz val="10"/>
      <color rgb="FF46433A"/>
      <name val="Arial"/>
      <family val="2"/>
    </font>
  </fonts>
  <fills count="12">
    <fill>
      <patternFill patternType="none"/>
    </fill>
    <fill>
      <patternFill patternType="gray125"/>
    </fill>
    <fill>
      <patternFill patternType="solid">
        <fgColor rgb="FF4F81BD"/>
        <bgColor indexed="64"/>
      </patternFill>
    </fill>
    <fill>
      <patternFill patternType="solid">
        <fgColor rgb="FFD3DFEE"/>
        <bgColor indexed="64"/>
      </patternFill>
    </fill>
    <fill>
      <patternFill patternType="solid">
        <fgColor rgb="FFFF0000"/>
        <bgColor indexed="64"/>
      </patternFill>
    </fill>
    <fill>
      <patternFill patternType="solid">
        <fgColor rgb="FFFFFF00"/>
        <bgColor indexed="64"/>
      </patternFill>
    </fill>
    <fill>
      <patternFill patternType="solid">
        <fgColor rgb="FF00B050"/>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FFCC"/>
        <bgColor indexed="64"/>
      </patternFill>
    </fill>
  </fills>
  <borders count="119">
    <border>
      <left/>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medium">
        <color indexed="64"/>
      </right>
      <top style="medium">
        <color indexed="64"/>
      </top>
      <bottom/>
      <diagonal/>
    </border>
    <border>
      <left style="medium">
        <color indexed="64"/>
      </left>
      <right style="double">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double">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style="thin">
        <color indexed="64"/>
      </right>
      <top/>
      <bottom/>
      <diagonal/>
    </border>
    <border>
      <left style="medium">
        <color indexed="64"/>
      </left>
      <right style="double">
        <color indexed="64"/>
      </right>
      <top/>
      <bottom style="thin">
        <color indexed="64"/>
      </bottom>
      <diagonal/>
    </border>
    <border>
      <left style="medium">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bottom style="double">
        <color indexed="64"/>
      </bottom>
      <diagonal/>
    </border>
    <border>
      <left style="thin">
        <color indexed="64"/>
      </left>
      <right style="double">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medium">
        <color indexed="64"/>
      </left>
      <right style="double">
        <color indexed="64"/>
      </right>
      <top/>
      <bottom style="double">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double">
        <color indexed="64"/>
      </right>
      <top style="thin">
        <color indexed="64"/>
      </top>
      <bottom/>
      <diagonal/>
    </border>
    <border>
      <left style="double">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double">
        <color indexed="64"/>
      </right>
      <top style="thin">
        <color indexed="64"/>
      </top>
      <bottom/>
      <diagonal/>
    </border>
    <border>
      <left/>
      <right/>
      <top style="medium">
        <color indexed="64"/>
      </top>
      <bottom/>
      <diagonal/>
    </border>
    <border>
      <left/>
      <right/>
      <top/>
      <bottom style="medium">
        <color indexed="64"/>
      </bottom>
      <diagonal/>
    </border>
    <border>
      <left style="double">
        <color indexed="64"/>
      </left>
      <right/>
      <top style="medium">
        <color indexed="64"/>
      </top>
      <bottom/>
      <diagonal/>
    </border>
    <border>
      <left style="thin">
        <color indexed="64"/>
      </left>
      <right style="thin">
        <color indexed="64"/>
      </right>
      <top style="medium">
        <color indexed="64"/>
      </top>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thin">
        <color indexed="64"/>
      </left>
      <right style="thin">
        <color indexed="64"/>
      </right>
      <top/>
      <bottom style="double">
        <color indexed="64"/>
      </bottom>
      <diagonal/>
    </border>
    <border>
      <left style="thin">
        <color indexed="64"/>
      </left>
      <right style="thin">
        <color indexed="64"/>
      </right>
      <top/>
      <bottom/>
      <diagonal/>
    </border>
    <border>
      <left/>
      <right style="double">
        <color indexed="64"/>
      </right>
      <top style="thin">
        <color indexed="64"/>
      </top>
      <bottom style="thin">
        <color indexed="64"/>
      </bottom>
      <diagonal/>
    </border>
    <border>
      <left/>
      <right style="double">
        <color indexed="64"/>
      </right>
      <top/>
      <bottom style="thin">
        <color indexed="64"/>
      </bottom>
      <diagonal/>
    </border>
    <border>
      <left/>
      <right style="double">
        <color indexed="64"/>
      </right>
      <top/>
      <bottom style="double">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double">
        <color indexed="64"/>
      </left>
      <right style="medium">
        <color indexed="64"/>
      </right>
      <top/>
      <bottom style="double">
        <color indexed="64"/>
      </bottom>
      <diagonal/>
    </border>
    <border>
      <left style="double">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double">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top style="medium">
        <color indexed="64"/>
      </top>
      <bottom style="thick">
        <color indexed="64"/>
      </bottom>
      <diagonal/>
    </border>
    <border>
      <left style="double">
        <color indexed="64"/>
      </left>
      <right style="thin">
        <color indexed="64"/>
      </right>
      <top style="thick">
        <color indexed="64"/>
      </top>
      <bottom style="double">
        <color indexed="64"/>
      </bottom>
      <diagonal/>
    </border>
    <border>
      <left/>
      <right/>
      <top style="thick">
        <color indexed="64"/>
      </top>
      <bottom/>
      <diagonal/>
    </border>
    <border>
      <left/>
      <right style="thin">
        <color indexed="64"/>
      </right>
      <top style="thick">
        <color indexed="64"/>
      </top>
      <bottom/>
      <diagonal/>
    </border>
    <border>
      <left style="medium">
        <color rgb="FF7BA0CD"/>
      </left>
      <right/>
      <top style="medium">
        <color rgb="FF7BA0CD"/>
      </top>
      <bottom style="medium">
        <color rgb="FF7BA0CD"/>
      </bottom>
      <diagonal/>
    </border>
    <border>
      <left/>
      <right/>
      <top style="medium">
        <color rgb="FF7BA0CD"/>
      </top>
      <bottom style="medium">
        <color rgb="FF7BA0CD"/>
      </bottom>
      <diagonal/>
    </border>
    <border>
      <left/>
      <right style="medium">
        <color rgb="FF7BA0CD"/>
      </right>
      <top style="medium">
        <color rgb="FF7BA0CD"/>
      </top>
      <bottom style="medium">
        <color rgb="FF7BA0CD"/>
      </bottom>
      <diagonal/>
    </border>
    <border>
      <left style="medium">
        <color rgb="FF7BA0CD"/>
      </left>
      <right/>
      <top/>
      <bottom style="medium">
        <color rgb="FF7BA0CD"/>
      </bottom>
      <diagonal/>
    </border>
    <border>
      <left style="thin">
        <color rgb="FF7BA0CD"/>
      </left>
      <right style="thin">
        <color rgb="FF7BA0CD"/>
      </right>
      <top/>
      <bottom style="medium">
        <color rgb="FF7BA0CD"/>
      </bottom>
      <diagonal/>
    </border>
    <border>
      <left/>
      <right style="medium">
        <color rgb="FF7BA0CD"/>
      </right>
      <top/>
      <bottom style="medium">
        <color rgb="FF7BA0CD"/>
      </bottom>
      <diagonal/>
    </border>
    <border>
      <left style="medium">
        <color rgb="FF7BA0CD"/>
      </left>
      <right/>
      <top style="medium">
        <color rgb="FF7BA0CD"/>
      </top>
      <bottom style="double">
        <color rgb="FF7BA0CD"/>
      </bottom>
      <diagonal/>
    </border>
    <border>
      <left style="thin">
        <color rgb="FF7BA0CD"/>
      </left>
      <right style="thin">
        <color rgb="FF7BA0CD"/>
      </right>
      <top style="medium">
        <color rgb="FF7BA0CD"/>
      </top>
      <bottom style="double">
        <color rgb="FF7BA0CD"/>
      </bottom>
      <diagonal/>
    </border>
    <border>
      <left/>
      <right style="medium">
        <color rgb="FF7BA0CD"/>
      </right>
      <top style="medium">
        <color rgb="FF7BA0CD"/>
      </top>
      <bottom style="double">
        <color rgb="FF7BA0CD"/>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medium">
        <color theme="0"/>
      </right>
      <top/>
      <bottom style="medium">
        <color indexed="64"/>
      </bottom>
      <diagonal/>
    </border>
    <border>
      <left style="medium">
        <color theme="0"/>
      </left>
      <right style="medium">
        <color theme="0"/>
      </right>
      <top/>
      <bottom style="medium">
        <color indexed="64"/>
      </bottom>
      <diagonal/>
    </border>
    <border>
      <left style="medium">
        <color theme="0"/>
      </left>
      <right style="medium">
        <color theme="0"/>
      </right>
      <top style="thin">
        <color theme="0"/>
      </top>
      <bottom style="medium">
        <color indexed="64"/>
      </bottom>
      <diagonal/>
    </border>
    <border>
      <left style="thin">
        <color theme="0"/>
      </left>
      <right style="thin">
        <color theme="0"/>
      </right>
      <top/>
      <bottom style="medium">
        <color indexed="64"/>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diagonal/>
    </border>
    <border>
      <left style="thin">
        <color theme="0"/>
      </left>
      <right style="thin">
        <color theme="0"/>
      </right>
      <top/>
      <bottom style="thin">
        <color theme="0"/>
      </bottom>
      <diagonal/>
    </border>
    <border>
      <left style="thin">
        <color rgb="FF7BA0CD"/>
      </left>
      <right style="thin">
        <color rgb="FF7BA0CD"/>
      </right>
      <top style="medium">
        <color rgb="FF7BA0CD"/>
      </top>
      <bottom/>
      <diagonal/>
    </border>
    <border>
      <left style="thin">
        <color rgb="FF7BA0CD"/>
      </left>
      <right style="medium">
        <color rgb="FF7BA0CD"/>
      </right>
      <top style="medium">
        <color rgb="FF7BA0CD"/>
      </top>
      <bottom/>
      <diagonal/>
    </border>
    <border>
      <left style="medium">
        <color theme="0"/>
      </left>
      <right style="thin">
        <color theme="0"/>
      </right>
      <top/>
      <bottom style="medium">
        <color indexed="64"/>
      </bottom>
      <diagonal/>
    </border>
    <border>
      <left style="medium">
        <color indexed="64"/>
      </left>
      <right style="medium">
        <color theme="0"/>
      </right>
      <top style="medium">
        <color theme="0"/>
      </top>
      <bottom style="medium">
        <color theme="0"/>
      </bottom>
      <diagonal/>
    </border>
    <border>
      <left style="medium">
        <color rgb="FF7BA0CD"/>
      </left>
      <right style="thin">
        <color rgb="FF7BA0CD"/>
      </right>
      <top style="medium">
        <color rgb="FF7BA0CD"/>
      </top>
      <bottom/>
      <diagonal/>
    </border>
    <border>
      <left/>
      <right style="thin">
        <color theme="0"/>
      </right>
      <top/>
      <bottom style="medium">
        <color indexed="64"/>
      </bottom>
      <diagonal/>
    </border>
    <border>
      <left/>
      <right/>
      <top style="thin">
        <color theme="0"/>
      </top>
      <bottom/>
      <diagonal/>
    </border>
    <border>
      <left style="thin">
        <color theme="0"/>
      </left>
      <right/>
      <top/>
      <bottom style="thin">
        <color theme="0"/>
      </bottom>
      <diagonal/>
    </border>
    <border>
      <left/>
      <right/>
      <top/>
      <bottom style="thin">
        <color theme="0"/>
      </bottom>
      <diagonal/>
    </border>
    <border>
      <left style="medium">
        <color indexed="64"/>
      </left>
      <right/>
      <top/>
      <bottom style="double">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style="thin">
        <color indexed="64"/>
      </bottom>
      <diagonal/>
    </border>
    <border>
      <left/>
      <right style="medium">
        <color indexed="64"/>
      </right>
      <top style="medium">
        <color indexed="0"/>
      </top>
      <bottom style="medium">
        <color indexed="0"/>
      </bottom>
      <diagonal/>
    </border>
    <border>
      <left/>
      <right style="medium">
        <color indexed="64"/>
      </right>
      <top style="medium">
        <color indexed="0"/>
      </top>
      <bottom/>
      <diagonal/>
    </border>
    <border>
      <left style="double">
        <color indexed="64"/>
      </left>
      <right/>
      <top/>
      <bottom style="thin">
        <color indexed="64"/>
      </bottom>
      <diagonal/>
    </border>
    <border>
      <left style="double">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top style="thin">
        <color indexed="64"/>
      </top>
      <bottom style="thin">
        <color indexed="64"/>
      </bottom>
      <diagonal/>
    </border>
  </borders>
  <cellStyleXfs count="5">
    <xf numFmtId="0" fontId="0" fillId="0" borderId="0"/>
    <xf numFmtId="0" fontId="1" fillId="0" borderId="0"/>
    <xf numFmtId="0" fontId="10" fillId="0" borderId="1">
      <alignment horizontal="center" wrapText="1"/>
    </xf>
    <xf numFmtId="0" fontId="11" fillId="0" borderId="2">
      <alignment horizontal="center"/>
    </xf>
    <xf numFmtId="44" fontId="23" fillId="0" borderId="0" applyFont="0" applyFill="0" applyBorder="0" applyAlignment="0" applyProtection="0"/>
  </cellStyleXfs>
  <cellXfs count="273">
    <xf numFmtId="0" fontId="0" fillId="0" borderId="0" xfId="0"/>
    <xf numFmtId="0" fontId="0" fillId="0" borderId="0" xfId="0" applyFont="1"/>
    <xf numFmtId="0" fontId="1" fillId="0" borderId="0" xfId="1"/>
    <xf numFmtId="0" fontId="12" fillId="2" borderId="79" xfId="1" applyFont="1" applyFill="1" applyBorder="1" applyAlignment="1">
      <alignment vertical="center" wrapText="1"/>
    </xf>
    <xf numFmtId="0" fontId="13" fillId="2" borderId="80" xfId="1" applyFont="1" applyFill="1" applyBorder="1" applyAlignment="1">
      <alignment horizontal="center" vertical="center" wrapText="1"/>
    </xf>
    <xf numFmtId="0" fontId="13" fillId="2" borderId="81" xfId="1" applyFont="1" applyFill="1" applyBorder="1" applyAlignment="1">
      <alignment horizontal="center" vertical="center" wrapText="1"/>
    </xf>
    <xf numFmtId="0" fontId="3" fillId="0" borderId="82" xfId="1" applyFont="1" applyBorder="1" applyAlignment="1">
      <alignment horizontal="left" vertical="center" wrapText="1"/>
    </xf>
    <xf numFmtId="0" fontId="4" fillId="0" borderId="83" xfId="1" applyFont="1" applyBorder="1" applyAlignment="1">
      <alignment horizontal="center" vertical="center" wrapText="1"/>
    </xf>
    <xf numFmtId="0" fontId="4" fillId="0" borderId="84" xfId="1" applyFont="1" applyBorder="1" applyAlignment="1">
      <alignment horizontal="center" vertical="center" wrapText="1"/>
    </xf>
    <xf numFmtId="0" fontId="3" fillId="3" borderId="82" xfId="1" applyFont="1" applyFill="1" applyBorder="1" applyAlignment="1">
      <alignment horizontal="left" vertical="center" wrapText="1"/>
    </xf>
    <xf numFmtId="0" fontId="4" fillId="3" borderId="84" xfId="1" applyFont="1" applyFill="1" applyBorder="1" applyAlignment="1">
      <alignment horizontal="center" vertical="center" wrapText="1"/>
    </xf>
    <xf numFmtId="0" fontId="3" fillId="0" borderId="85" xfId="1" applyFont="1" applyBorder="1" applyAlignment="1">
      <alignment horizontal="left" vertical="center" wrapText="1"/>
    </xf>
    <xf numFmtId="0" fontId="4" fillId="0" borderId="86" xfId="1" applyFont="1" applyBorder="1" applyAlignment="1">
      <alignment horizontal="center" vertical="center" wrapText="1"/>
    </xf>
    <xf numFmtId="0" fontId="4" fillId="0" borderId="87" xfId="1" applyFont="1" applyBorder="1" applyAlignment="1">
      <alignment horizontal="center" vertical="center" wrapText="1"/>
    </xf>
    <xf numFmtId="0" fontId="3" fillId="3" borderId="82" xfId="1" applyFont="1" applyFill="1" applyBorder="1" applyAlignment="1">
      <alignment vertical="center" wrapText="1"/>
    </xf>
    <xf numFmtId="0" fontId="5" fillId="0" borderId="0" xfId="1" applyFont="1"/>
    <xf numFmtId="0" fontId="5" fillId="4" borderId="3" xfId="1" applyFont="1" applyFill="1" applyBorder="1" applyAlignment="1">
      <alignment horizontal="center" vertical="center"/>
    </xf>
    <xf numFmtId="0" fontId="5" fillId="4" borderId="4" xfId="1" applyFont="1" applyFill="1" applyBorder="1" applyAlignment="1">
      <alignment horizontal="center" vertical="center"/>
    </xf>
    <xf numFmtId="0" fontId="5" fillId="5" borderId="5" xfId="1" applyFont="1" applyFill="1" applyBorder="1" applyAlignment="1">
      <alignment horizontal="center" vertical="center"/>
    </xf>
    <xf numFmtId="0" fontId="5" fillId="4" borderId="5" xfId="1" applyFont="1" applyFill="1" applyBorder="1" applyAlignment="1">
      <alignment horizontal="center" vertical="center"/>
    </xf>
    <xf numFmtId="0" fontId="5" fillId="4" borderId="6" xfId="1" applyFont="1" applyFill="1" applyBorder="1" applyAlignment="1">
      <alignment horizontal="center" vertical="center"/>
    </xf>
    <xf numFmtId="0" fontId="5" fillId="6" borderId="5" xfId="1" applyFont="1" applyFill="1" applyBorder="1" applyAlignment="1">
      <alignment horizontal="center" vertical="center"/>
    </xf>
    <xf numFmtId="0" fontId="5" fillId="6" borderId="7" xfId="1" applyFont="1" applyFill="1" applyBorder="1" applyAlignment="1">
      <alignment horizontal="center" vertical="center"/>
    </xf>
    <xf numFmtId="0" fontId="5" fillId="5" borderId="8" xfId="1" applyFont="1" applyFill="1" applyBorder="1" applyAlignment="1">
      <alignment horizontal="center" vertical="center"/>
    </xf>
    <xf numFmtId="0" fontId="5" fillId="5" borderId="9" xfId="1" applyFont="1" applyFill="1" applyBorder="1" applyAlignment="1">
      <alignment horizontal="center" vertical="center"/>
    </xf>
    <xf numFmtId="0" fontId="5" fillId="0" borderId="10" xfId="1" applyFont="1" applyBorder="1" applyAlignment="1">
      <alignment horizontal="center" vertical="center"/>
    </xf>
    <xf numFmtId="0" fontId="5" fillId="0" borderId="3" xfId="1" applyFont="1" applyBorder="1" applyAlignment="1">
      <alignment horizontal="center" vertical="center"/>
    </xf>
    <xf numFmtId="0" fontId="5" fillId="0" borderId="4" xfId="1" applyFont="1" applyBorder="1" applyAlignment="1">
      <alignment horizontal="center" vertical="center"/>
    </xf>
    <xf numFmtId="0" fontId="5" fillId="0" borderId="7" xfId="1" applyFont="1" applyBorder="1" applyAlignment="1">
      <alignment horizontal="center" vertical="center"/>
    </xf>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0" xfId="1" applyFont="1" applyAlignment="1">
      <alignment vertical="center" textRotation="90"/>
    </xf>
    <xf numFmtId="0" fontId="5" fillId="0" borderId="13" xfId="1" applyFont="1" applyBorder="1" applyAlignment="1">
      <alignment horizontal="center" vertical="center"/>
    </xf>
    <xf numFmtId="0" fontId="11" fillId="0" borderId="0" xfId="0" applyFont="1"/>
    <xf numFmtId="0" fontId="0" fillId="7" borderId="14" xfId="0" applyFill="1" applyBorder="1"/>
    <xf numFmtId="0" fontId="0" fillId="7" borderId="15" xfId="0" applyFill="1" applyBorder="1"/>
    <xf numFmtId="0" fontId="0" fillId="7" borderId="16" xfId="0" applyFill="1" applyBorder="1"/>
    <xf numFmtId="0" fontId="0" fillId="7" borderId="17" xfId="0" applyFill="1" applyBorder="1"/>
    <xf numFmtId="0" fontId="0" fillId="7" borderId="18" xfId="0" applyFill="1" applyBorder="1"/>
    <xf numFmtId="0" fontId="0" fillId="7" borderId="19" xfId="0" applyFill="1" applyBorder="1"/>
    <xf numFmtId="0" fontId="0" fillId="7" borderId="13" xfId="0" applyFill="1" applyBorder="1"/>
    <xf numFmtId="0" fontId="0" fillId="7" borderId="20" xfId="0" applyFill="1" applyBorder="1"/>
    <xf numFmtId="0" fontId="0" fillId="7" borderId="21" xfId="0" applyFill="1" applyBorder="1"/>
    <xf numFmtId="0" fontId="11" fillId="0" borderId="22" xfId="0" applyFont="1" applyBorder="1"/>
    <xf numFmtId="0" fontId="0" fillId="0" borderId="0" xfId="0" applyFont="1" applyAlignment="1">
      <alignment wrapText="1"/>
    </xf>
    <xf numFmtId="0" fontId="14" fillId="0" borderId="0" xfId="0" applyFont="1" applyAlignment="1">
      <alignment horizontal="center" vertical="center"/>
    </xf>
    <xf numFmtId="0" fontId="5" fillId="0" borderId="22" xfId="1" applyFont="1" applyBorder="1"/>
    <xf numFmtId="0" fontId="11" fillId="0" borderId="0" xfId="0" applyFont="1" applyBorder="1" applyAlignment="1">
      <alignment horizontal="center" wrapText="1"/>
    </xf>
    <xf numFmtId="0" fontId="15" fillId="0" borderId="0" xfId="0" applyFont="1"/>
    <xf numFmtId="0" fontId="14" fillId="0" borderId="23" xfId="0" applyFont="1" applyBorder="1" applyAlignment="1" applyProtection="1">
      <alignment horizontal="center" vertical="center" wrapText="1"/>
      <protection locked="0"/>
    </xf>
    <xf numFmtId="0" fontId="14" fillId="0" borderId="24" xfId="0" applyFont="1" applyBorder="1" applyAlignment="1" applyProtection="1">
      <alignment horizontal="center" vertical="center" wrapText="1"/>
      <protection locked="0"/>
    </xf>
    <xf numFmtId="0" fontId="16" fillId="8" borderId="25" xfId="0" applyFont="1" applyFill="1" applyBorder="1" applyAlignment="1" applyProtection="1">
      <alignment horizontal="center"/>
    </xf>
    <xf numFmtId="0" fontId="16" fillId="9" borderId="26" xfId="0" applyFont="1" applyFill="1" applyBorder="1" applyAlignment="1" applyProtection="1"/>
    <xf numFmtId="1" fontId="0" fillId="0" borderId="5" xfId="0" applyNumberFormat="1" applyFont="1" applyBorder="1" applyAlignment="1" applyProtection="1">
      <alignment horizontal="center" vertical="center" wrapText="1"/>
    </xf>
    <xf numFmtId="0" fontId="15" fillId="8" borderId="27" xfId="0" applyFont="1" applyFill="1" applyBorder="1" applyProtection="1"/>
    <xf numFmtId="0" fontId="15" fillId="8" borderId="28" xfId="0" applyFont="1" applyFill="1" applyBorder="1" applyProtection="1"/>
    <xf numFmtId="0" fontId="16" fillId="8" borderId="27" xfId="0" applyFont="1" applyFill="1" applyBorder="1" applyAlignment="1" applyProtection="1"/>
    <xf numFmtId="0" fontId="16" fillId="8" borderId="28" xfId="0" applyFont="1" applyFill="1" applyBorder="1" applyAlignment="1" applyProtection="1"/>
    <xf numFmtId="0" fontId="16" fillId="8" borderId="17" xfId="0" applyFont="1" applyFill="1" applyBorder="1" applyAlignment="1" applyProtection="1">
      <alignment horizontal="center"/>
    </xf>
    <xf numFmtId="0" fontId="14" fillId="0" borderId="29" xfId="0" applyFont="1" applyBorder="1" applyAlignment="1" applyProtection="1">
      <alignment horizontal="center" vertical="center" wrapText="1"/>
      <protection locked="0"/>
    </xf>
    <xf numFmtId="0" fontId="14" fillId="9" borderId="31" xfId="0" applyFont="1" applyFill="1" applyBorder="1" applyAlignment="1" applyProtection="1">
      <alignment horizontal="center" vertical="center" wrapText="1"/>
      <protection locked="0"/>
    </xf>
    <xf numFmtId="0" fontId="14" fillId="9" borderId="32" xfId="0" applyFont="1" applyFill="1" applyBorder="1" applyAlignment="1" applyProtection="1">
      <alignment horizontal="center" vertical="center" wrapText="1"/>
      <protection locked="0"/>
    </xf>
    <xf numFmtId="0" fontId="14" fillId="9" borderId="33" xfId="0" applyFont="1" applyFill="1" applyBorder="1" applyAlignment="1" applyProtection="1">
      <alignment horizontal="center" vertical="center" wrapText="1"/>
      <protection locked="0"/>
    </xf>
    <xf numFmtId="0" fontId="14" fillId="9" borderId="29" xfId="0" applyFont="1" applyFill="1" applyBorder="1" applyAlignment="1" applyProtection="1">
      <alignment horizontal="center" vertical="center" wrapText="1"/>
      <protection locked="0"/>
    </xf>
    <xf numFmtId="0" fontId="14" fillId="9" borderId="6" xfId="0" applyFont="1" applyFill="1" applyBorder="1" applyAlignment="1" applyProtection="1">
      <alignment horizontal="center" vertical="center" wrapText="1"/>
      <protection locked="0"/>
    </xf>
    <xf numFmtId="0" fontId="0" fillId="0" borderId="32" xfId="0" applyFont="1" applyBorder="1" applyAlignment="1" applyProtection="1">
      <alignment horizontal="center" vertical="center"/>
    </xf>
    <xf numFmtId="0" fontId="0" fillId="0" borderId="34" xfId="0" applyFont="1" applyBorder="1" applyAlignment="1" applyProtection="1">
      <alignment horizontal="center" vertical="center"/>
    </xf>
    <xf numFmtId="0" fontId="0" fillId="0" borderId="35" xfId="0" applyFont="1" applyBorder="1" applyAlignment="1" applyProtection="1">
      <alignment horizontal="center" vertical="center"/>
    </xf>
    <xf numFmtId="1" fontId="0" fillId="0" borderId="36" xfId="0" applyNumberFormat="1" applyFont="1" applyBorder="1" applyAlignment="1" applyProtection="1">
      <alignment horizontal="center" vertical="center" wrapText="1"/>
    </xf>
    <xf numFmtId="0" fontId="14" fillId="0" borderId="32" xfId="0" applyFont="1" applyBorder="1" applyAlignment="1" applyProtection="1">
      <alignment horizontal="center" vertical="center" wrapText="1"/>
      <protection locked="0"/>
    </xf>
    <xf numFmtId="0" fontId="14" fillId="9" borderId="34" xfId="0" applyFont="1" applyFill="1" applyBorder="1" applyAlignment="1" applyProtection="1">
      <alignment horizontal="center" vertical="center" wrapText="1"/>
      <protection locked="0"/>
    </xf>
    <xf numFmtId="0" fontId="0" fillId="0" borderId="37" xfId="0" applyFont="1" applyBorder="1" applyAlignment="1" applyProtection="1">
      <alignment horizontal="center" vertical="center"/>
    </xf>
    <xf numFmtId="0" fontId="11" fillId="0" borderId="38" xfId="0" applyFont="1" applyBorder="1" applyAlignment="1" applyProtection="1">
      <alignment horizontal="center" vertical="top" wrapText="1"/>
    </xf>
    <xf numFmtId="0" fontId="11" fillId="0" borderId="39" xfId="0" applyFont="1" applyBorder="1" applyAlignment="1" applyProtection="1">
      <alignment horizontal="center" vertical="top" wrapText="1"/>
    </xf>
    <xf numFmtId="0" fontId="11" fillId="0" borderId="40" xfId="0" applyFont="1" applyBorder="1" applyAlignment="1" applyProtection="1">
      <alignment horizontal="center" vertical="top" wrapText="1"/>
    </xf>
    <xf numFmtId="0" fontId="11" fillId="0" borderId="41" xfId="0" applyFont="1" applyFill="1" applyBorder="1" applyAlignment="1" applyProtection="1">
      <alignment horizontal="center" vertical="center" wrapText="1"/>
    </xf>
    <xf numFmtId="0" fontId="11" fillId="0" borderId="42" xfId="0" applyFont="1" applyBorder="1" applyAlignment="1" applyProtection="1">
      <alignment horizontal="center" vertical="center" wrapText="1"/>
    </xf>
    <xf numFmtId="0" fontId="11" fillId="0" borderId="43" xfId="0" applyFont="1" applyBorder="1" applyAlignment="1" applyProtection="1">
      <alignment horizontal="center" vertical="center" wrapText="1"/>
    </xf>
    <xf numFmtId="0" fontId="11" fillId="9" borderId="44" xfId="0" applyFont="1" applyFill="1" applyBorder="1" applyAlignment="1" applyProtection="1">
      <alignment horizontal="center" vertical="top" wrapText="1"/>
    </xf>
    <xf numFmtId="0" fontId="0" fillId="0" borderId="88" xfId="0" applyFont="1" applyBorder="1" applyProtection="1"/>
    <xf numFmtId="0" fontId="0" fillId="0" borderId="88" xfId="0" applyFont="1" applyBorder="1" applyAlignment="1">
      <alignment wrapText="1"/>
    </xf>
    <xf numFmtId="0" fontId="0" fillId="0" borderId="88" xfId="0" applyFont="1" applyBorder="1"/>
    <xf numFmtId="0" fontId="0" fillId="0" borderId="88" xfId="0" applyFont="1" applyBorder="1" applyAlignment="1" applyProtection="1">
      <alignment wrapText="1"/>
      <protection locked="0"/>
    </xf>
    <xf numFmtId="0" fontId="0" fillId="0" borderId="89" xfId="0" applyFont="1" applyBorder="1" applyProtection="1"/>
    <xf numFmtId="0" fontId="0" fillId="0" borderId="90" xfId="0" applyFont="1" applyBorder="1" applyProtection="1">
      <protection locked="0"/>
    </xf>
    <xf numFmtId="0" fontId="0" fillId="0" borderId="91" xfId="0" applyFont="1" applyBorder="1" applyProtection="1">
      <protection locked="0"/>
    </xf>
    <xf numFmtId="0" fontId="0" fillId="0" borderId="92" xfId="0" applyFont="1" applyBorder="1" applyAlignment="1">
      <alignment wrapText="1"/>
    </xf>
    <xf numFmtId="0" fontId="17" fillId="0" borderId="92" xfId="0" applyFont="1" applyBorder="1" applyAlignment="1" applyProtection="1">
      <alignment wrapText="1"/>
      <protection locked="0"/>
    </xf>
    <xf numFmtId="0" fontId="17" fillId="0" borderId="92" xfId="0" applyFont="1" applyBorder="1" applyProtection="1">
      <protection locked="0"/>
    </xf>
    <xf numFmtId="0" fontId="0" fillId="0" borderId="92" xfId="0" applyFont="1" applyBorder="1" applyProtection="1">
      <protection locked="0"/>
    </xf>
    <xf numFmtId="0" fontId="0" fillId="0" borderId="93" xfId="0" applyFont="1" applyBorder="1" applyProtection="1">
      <protection locked="0"/>
    </xf>
    <xf numFmtId="1" fontId="0" fillId="0" borderId="8" xfId="0" applyNumberFormat="1" applyFont="1" applyBorder="1" applyAlignment="1" applyProtection="1">
      <alignment horizontal="center" vertical="center" wrapText="1"/>
    </xf>
    <xf numFmtId="0" fontId="14" fillId="0" borderId="46" xfId="0" applyFont="1" applyBorder="1" applyAlignment="1" applyProtection="1">
      <alignment horizontal="center" vertical="center" wrapText="1"/>
      <protection locked="0"/>
    </xf>
    <xf numFmtId="0" fontId="14" fillId="0" borderId="47" xfId="0" applyFont="1" applyBorder="1" applyAlignment="1" applyProtection="1">
      <alignment horizontal="center" vertical="center" wrapText="1"/>
      <protection locked="0"/>
    </xf>
    <xf numFmtId="0" fontId="14" fillId="9" borderId="48" xfId="0" applyFont="1" applyFill="1" applyBorder="1" applyAlignment="1" applyProtection="1">
      <alignment horizontal="center" vertical="center" wrapText="1"/>
      <protection locked="0"/>
    </xf>
    <xf numFmtId="0" fontId="14" fillId="9" borderId="46" xfId="0" applyFont="1" applyFill="1" applyBorder="1" applyAlignment="1" applyProtection="1">
      <alignment horizontal="center" vertical="center" wrapText="1"/>
      <protection locked="0"/>
    </xf>
    <xf numFmtId="0" fontId="14" fillId="9" borderId="9" xfId="0" applyFont="1" applyFill="1" applyBorder="1" applyAlignment="1" applyProtection="1">
      <alignment horizontal="center" vertical="center" wrapText="1"/>
      <protection locked="0"/>
    </xf>
    <xf numFmtId="0" fontId="0" fillId="0" borderId="36" xfId="0" applyFont="1" applyBorder="1" applyAlignment="1" applyProtection="1">
      <alignment horizontal="center" vertical="center"/>
    </xf>
    <xf numFmtId="0" fontId="0" fillId="0" borderId="49" xfId="0" applyFont="1" applyBorder="1" applyAlignment="1" applyProtection="1">
      <alignment horizontal="center" vertical="center"/>
    </xf>
    <xf numFmtId="0" fontId="0" fillId="0" borderId="50" xfId="0" applyFont="1" applyBorder="1" applyAlignment="1" applyProtection="1">
      <alignment horizontal="center" vertical="center"/>
    </xf>
    <xf numFmtId="0" fontId="0" fillId="0" borderId="94" xfId="0" applyFont="1" applyBorder="1" applyProtection="1"/>
    <xf numFmtId="0" fontId="0" fillId="0" borderId="95" xfId="0" applyFont="1" applyBorder="1" applyAlignment="1">
      <alignment wrapText="1"/>
    </xf>
    <xf numFmtId="0" fontId="0" fillId="0" borderId="96" xfId="0" applyFont="1" applyBorder="1" applyProtection="1"/>
    <xf numFmtId="0" fontId="0" fillId="0" borderId="94" xfId="0" applyFont="1" applyBorder="1" applyAlignment="1" applyProtection="1">
      <alignment wrapText="1"/>
      <protection locked="0"/>
    </xf>
    <xf numFmtId="0" fontId="0" fillId="0" borderId="91" xfId="0" applyFont="1" applyBorder="1" applyAlignment="1" applyProtection="1">
      <alignment wrapText="1"/>
      <protection locked="0"/>
    </xf>
    <xf numFmtId="0" fontId="0" fillId="0" borderId="97" xfId="0" applyFont="1" applyBorder="1" applyProtection="1"/>
    <xf numFmtId="0" fontId="0" fillId="0" borderId="97" xfId="0" applyFont="1" applyBorder="1" applyAlignment="1">
      <alignment wrapText="1"/>
    </xf>
    <xf numFmtId="0" fontId="18" fillId="0" borderId="51" xfId="0" applyFont="1" applyBorder="1" applyAlignment="1" applyProtection="1">
      <alignment vertical="center" wrapText="1"/>
    </xf>
    <xf numFmtId="0" fontId="18" fillId="0" borderId="0" xfId="0" applyFont="1" applyBorder="1" applyAlignment="1" applyProtection="1">
      <alignment vertical="center" wrapText="1"/>
    </xf>
    <xf numFmtId="0" fontId="18" fillId="0" borderId="52" xfId="0" applyFont="1" applyBorder="1" applyAlignment="1" applyProtection="1">
      <alignment vertical="center" wrapText="1"/>
    </xf>
    <xf numFmtId="0" fontId="18" fillId="0" borderId="17" xfId="0" applyFont="1" applyBorder="1" applyAlignment="1" applyProtection="1">
      <alignment horizontal="left" vertical="center" wrapText="1"/>
    </xf>
    <xf numFmtId="0" fontId="18" fillId="0" borderId="19" xfId="0" applyFont="1" applyBorder="1" applyAlignment="1" applyProtection="1">
      <alignment horizontal="left" vertical="center" wrapText="1"/>
    </xf>
    <xf numFmtId="0" fontId="0" fillId="0" borderId="94" xfId="0" applyFont="1" applyBorder="1"/>
    <xf numFmtId="0" fontId="4" fillId="3" borderId="83" xfId="1" applyFont="1" applyFill="1" applyBorder="1" applyAlignment="1">
      <alignment horizontal="center" vertical="center" wrapText="1"/>
    </xf>
    <xf numFmtId="0" fontId="15" fillId="0" borderId="0" xfId="0" applyFont="1" applyAlignment="1">
      <alignment vertical="center"/>
    </xf>
    <xf numFmtId="0" fontId="11" fillId="0" borderId="39" xfId="2" applyFont="1" applyBorder="1" applyAlignment="1" applyProtection="1">
      <alignment horizontal="center" vertical="top" wrapText="1"/>
    </xf>
    <xf numFmtId="0" fontId="15" fillId="8" borderId="53" xfId="0" applyFont="1" applyFill="1" applyBorder="1" applyProtection="1"/>
    <xf numFmtId="0" fontId="15" fillId="8" borderId="54" xfId="0" applyFont="1" applyFill="1" applyBorder="1" applyProtection="1"/>
    <xf numFmtId="0" fontId="5" fillId="0" borderId="0" xfId="1" applyFont="1" applyFill="1" applyBorder="1"/>
    <xf numFmtId="0" fontId="15" fillId="0" borderId="0" xfId="0" applyFont="1" applyFill="1" applyBorder="1"/>
    <xf numFmtId="0" fontId="0" fillId="0" borderId="0" xfId="0" applyFill="1" applyBorder="1"/>
    <xf numFmtId="0" fontId="4" fillId="3" borderId="98" xfId="1" applyFont="1" applyFill="1" applyBorder="1" applyAlignment="1">
      <alignment horizontal="center" vertical="center" wrapText="1"/>
    </xf>
    <xf numFmtId="0" fontId="4" fillId="3" borderId="99" xfId="1" applyFont="1" applyFill="1" applyBorder="1" applyAlignment="1">
      <alignment horizontal="center" vertical="center" wrapText="1"/>
    </xf>
    <xf numFmtId="0" fontId="19" fillId="0" borderId="89" xfId="0" applyFont="1" applyBorder="1" applyAlignment="1" applyProtection="1">
      <alignment horizontal="left"/>
    </xf>
    <xf numFmtId="0" fontId="18" fillId="0" borderId="0" xfId="0" applyFont="1" applyBorder="1" applyAlignment="1" applyProtection="1">
      <alignment horizontal="left" vertical="center" wrapText="1"/>
    </xf>
    <xf numFmtId="0" fontId="0" fillId="0" borderId="100" xfId="0" applyFont="1" applyBorder="1" applyProtection="1">
      <protection locked="0"/>
    </xf>
    <xf numFmtId="0" fontId="0" fillId="0" borderId="0" xfId="0" applyFont="1" applyBorder="1"/>
    <xf numFmtId="0" fontId="18" fillId="0" borderId="51" xfId="0" applyFont="1" applyBorder="1" applyAlignment="1" applyProtection="1">
      <alignment horizontal="left" vertical="center" wrapText="1"/>
    </xf>
    <xf numFmtId="0" fontId="10" fillId="0" borderId="0" xfId="2" applyBorder="1" applyAlignment="1">
      <alignment horizontal="left" wrapText="1"/>
    </xf>
    <xf numFmtId="0" fontId="10" fillId="0" borderId="52" xfId="2" applyBorder="1" applyAlignment="1">
      <alignment horizontal="left" wrapText="1"/>
    </xf>
    <xf numFmtId="0" fontId="10" fillId="0" borderId="19" xfId="2" applyBorder="1" applyAlignment="1">
      <alignment horizontal="left" vertical="center" wrapText="1"/>
    </xf>
    <xf numFmtId="0" fontId="10" fillId="0" borderId="20" xfId="2" applyBorder="1" applyAlignment="1">
      <alignment horizontal="left" vertical="center" wrapText="1"/>
    </xf>
    <xf numFmtId="0" fontId="15" fillId="8" borderId="51" xfId="0" applyFont="1" applyFill="1" applyBorder="1" applyProtection="1"/>
    <xf numFmtId="0" fontId="0" fillId="0" borderId="88" xfId="0" applyBorder="1" applyAlignment="1"/>
    <xf numFmtId="0" fontId="11" fillId="0" borderId="101" xfId="0" applyFont="1" applyFill="1" applyBorder="1" applyAlignment="1" applyProtection="1"/>
    <xf numFmtId="0" fontId="3" fillId="3" borderId="102" xfId="1" applyFont="1" applyFill="1" applyBorder="1" applyAlignment="1">
      <alignment vertical="center" wrapText="1"/>
    </xf>
    <xf numFmtId="0" fontId="11" fillId="0" borderId="57" xfId="0" applyFont="1" applyBorder="1" applyAlignment="1" applyProtection="1">
      <alignment horizontal="center" vertical="top" wrapText="1"/>
    </xf>
    <xf numFmtId="0" fontId="14" fillId="0" borderId="58" xfId="0" applyFont="1" applyBorder="1" applyAlignment="1" applyProtection="1">
      <alignment horizontal="center" vertical="center"/>
      <protection locked="0"/>
    </xf>
    <xf numFmtId="0" fontId="14" fillId="0" borderId="5" xfId="0" applyFont="1" applyBorder="1" applyAlignment="1" applyProtection="1">
      <alignment horizontal="center" vertical="center"/>
      <protection locked="0"/>
    </xf>
    <xf numFmtId="0" fontId="0" fillId="0" borderId="103" xfId="0" applyFont="1" applyBorder="1" applyProtection="1">
      <protection locked="0"/>
    </xf>
    <xf numFmtId="0" fontId="0" fillId="0" borderId="46" xfId="0" applyFont="1" applyBorder="1" applyAlignment="1" applyProtection="1">
      <alignment horizontal="center" vertical="center"/>
    </xf>
    <xf numFmtId="0" fontId="0" fillId="0" borderId="29" xfId="0" applyFont="1" applyBorder="1" applyAlignment="1" applyProtection="1">
      <alignment horizontal="center" vertical="center"/>
    </xf>
    <xf numFmtId="0" fontId="11" fillId="0" borderId="14" xfId="0" applyFont="1" applyBorder="1"/>
    <xf numFmtId="0" fontId="11" fillId="0" borderId="42" xfId="0" applyFont="1" applyFill="1" applyBorder="1" applyAlignment="1" applyProtection="1">
      <alignment horizontal="center" vertical="center" wrapText="1"/>
    </xf>
    <xf numFmtId="0" fontId="11" fillId="0" borderId="61" xfId="0" applyFont="1" applyFill="1" applyBorder="1" applyAlignment="1" applyProtection="1">
      <alignment horizontal="center" vertical="center" wrapText="1"/>
    </xf>
    <xf numFmtId="0" fontId="5" fillId="0" borderId="62" xfId="1" applyFont="1" applyBorder="1" applyAlignment="1">
      <alignment horizontal="left"/>
    </xf>
    <xf numFmtId="0" fontId="5" fillId="0" borderId="63" xfId="1" applyFont="1" applyBorder="1" applyAlignment="1">
      <alignment horizontal="left"/>
    </xf>
    <xf numFmtId="0" fontId="5" fillId="0" borderId="64" xfId="1" applyFont="1" applyBorder="1" applyAlignment="1">
      <alignment horizontal="left"/>
    </xf>
    <xf numFmtId="0" fontId="18" fillId="0" borderId="13" xfId="0" applyFont="1" applyBorder="1" applyAlignment="1" applyProtection="1">
      <alignment horizontal="center" vertical="center" wrapText="1"/>
    </xf>
    <xf numFmtId="0" fontId="18" fillId="0" borderId="18" xfId="0" applyFont="1" applyBorder="1" applyAlignment="1" applyProtection="1">
      <alignment vertical="center" wrapText="1"/>
    </xf>
    <xf numFmtId="0" fontId="18" fillId="0" borderId="13" xfId="0" applyFont="1" applyBorder="1" applyAlignment="1" applyProtection="1">
      <alignment vertical="center" wrapText="1"/>
    </xf>
    <xf numFmtId="0" fontId="18" fillId="0" borderId="21" xfId="0" applyFont="1" applyBorder="1" applyAlignment="1" applyProtection="1">
      <alignment vertical="center" wrapText="1"/>
    </xf>
    <xf numFmtId="0" fontId="0" fillId="0" borderId="88" xfId="0" applyFont="1" applyFill="1" applyBorder="1"/>
    <xf numFmtId="0" fontId="0" fillId="8" borderId="0" xfId="0" applyFont="1" applyFill="1"/>
    <xf numFmtId="0" fontId="0" fillId="0" borderId="0" xfId="0" applyFill="1" applyBorder="1" applyAlignment="1">
      <alignment wrapText="1"/>
    </xf>
    <xf numFmtId="0" fontId="11" fillId="0" borderId="65" xfId="0" applyFont="1" applyBorder="1" applyAlignment="1" applyProtection="1">
      <alignment horizontal="center" vertical="center" wrapText="1"/>
    </xf>
    <xf numFmtId="0" fontId="20" fillId="0" borderId="104" xfId="0" applyFont="1" applyBorder="1" applyAlignment="1" applyProtection="1">
      <alignment horizontal="left" vertical="top"/>
    </xf>
    <xf numFmtId="0" fontId="20" fillId="0" borderId="106" xfId="0" applyFont="1" applyBorder="1" applyAlignment="1" applyProtection="1">
      <alignment horizontal="left" vertical="top"/>
    </xf>
    <xf numFmtId="0" fontId="14" fillId="0" borderId="73" xfId="0" applyFont="1" applyBorder="1" applyAlignment="1" applyProtection="1">
      <alignment horizontal="center" vertical="center" wrapText="1"/>
      <protection locked="0"/>
    </xf>
    <xf numFmtId="0" fontId="14" fillId="0" borderId="74" xfId="0" applyFont="1" applyBorder="1" applyAlignment="1" applyProtection="1">
      <alignment horizontal="center" vertical="center" wrapText="1"/>
      <protection locked="0"/>
    </xf>
    <xf numFmtId="0" fontId="15" fillId="8" borderId="75" xfId="0" applyFont="1" applyFill="1" applyBorder="1" applyProtection="1"/>
    <xf numFmtId="0" fontId="11" fillId="0" borderId="76" xfId="2" applyFont="1" applyBorder="1" applyAlignment="1" applyProtection="1">
      <alignment horizontal="center" vertical="top" wrapText="1"/>
    </xf>
    <xf numFmtId="0" fontId="11" fillId="0" borderId="77" xfId="2" applyFont="1" applyBorder="1" applyAlignment="1" applyProtection="1">
      <alignment horizontal="center" vertical="top" wrapText="1"/>
    </xf>
    <xf numFmtId="0" fontId="0" fillId="0" borderId="5" xfId="0" applyBorder="1"/>
    <xf numFmtId="0" fontId="11" fillId="0" borderId="78" xfId="2" applyFont="1" applyBorder="1" applyAlignment="1" applyProtection="1">
      <alignment horizontal="center" vertical="top" wrapText="1"/>
    </xf>
    <xf numFmtId="0" fontId="11" fillId="10" borderId="0" xfId="0" applyFont="1" applyFill="1" applyBorder="1" applyAlignment="1" applyProtection="1">
      <alignment horizontal="center"/>
    </xf>
    <xf numFmtId="0" fontId="11" fillId="0" borderId="107" xfId="0" applyFont="1" applyBorder="1" applyAlignment="1" applyProtection="1">
      <alignment horizontal="center" vertical="top" wrapText="1"/>
    </xf>
    <xf numFmtId="0" fontId="14" fillId="0" borderId="63" xfId="0" applyFont="1" applyBorder="1" applyAlignment="1" applyProtection="1">
      <alignment horizontal="center" vertical="center" wrapText="1"/>
      <protection locked="0"/>
    </xf>
    <xf numFmtId="0" fontId="14" fillId="0" borderId="109" xfId="0" applyFont="1" applyBorder="1" applyAlignment="1" applyProtection="1">
      <alignment horizontal="center" vertical="center" wrapText="1"/>
      <protection locked="0"/>
    </xf>
    <xf numFmtId="0" fontId="14" fillId="0" borderId="108" xfId="0" applyFont="1" applyBorder="1" applyAlignment="1" applyProtection="1">
      <alignment horizontal="left" vertical="center" wrapText="1"/>
      <protection locked="0"/>
    </xf>
    <xf numFmtId="0" fontId="14" fillId="0" borderId="63" xfId="0" applyFont="1" applyBorder="1" applyAlignment="1" applyProtection="1">
      <alignment horizontal="left" vertical="center" wrapText="1"/>
      <protection locked="0"/>
    </xf>
    <xf numFmtId="0" fontId="14" fillId="0" borderId="63" xfId="0" applyFont="1" applyBorder="1" applyAlignment="1" applyProtection="1">
      <alignment vertical="center" wrapText="1"/>
      <protection locked="0"/>
    </xf>
    <xf numFmtId="0" fontId="14" fillId="0" borderId="109" xfId="0" applyFont="1" applyBorder="1" applyAlignment="1" applyProtection="1">
      <alignment vertical="center" wrapText="1"/>
      <protection locked="0"/>
    </xf>
    <xf numFmtId="0" fontId="0" fillId="7" borderId="0" xfId="0" applyFill="1"/>
    <xf numFmtId="0" fontId="11" fillId="0" borderId="0" xfId="0" applyFont="1" applyFill="1" applyBorder="1"/>
    <xf numFmtId="0" fontId="14" fillId="0" borderId="110" xfId="0" applyFont="1" applyBorder="1" applyAlignment="1" applyProtection="1">
      <alignment horizontal="left" vertical="center" wrapText="1"/>
      <protection locked="0"/>
    </xf>
    <xf numFmtId="0" fontId="14" fillId="0" borderId="55" xfId="0" applyFont="1" applyBorder="1" applyAlignment="1" applyProtection="1">
      <alignment horizontal="left" vertical="center" wrapText="1"/>
      <protection locked="0"/>
    </xf>
    <xf numFmtId="0" fontId="14" fillId="0" borderId="56" xfId="0" applyFont="1" applyBorder="1" applyAlignment="1" applyProtection="1">
      <alignment horizontal="left" vertical="center" wrapText="1"/>
      <protection locked="0"/>
    </xf>
    <xf numFmtId="0" fontId="11" fillId="0" borderId="13" xfId="0" applyFont="1" applyBorder="1" applyAlignment="1" applyProtection="1">
      <alignment horizontal="center" vertical="top" wrapText="1"/>
    </xf>
    <xf numFmtId="1" fontId="21" fillId="0" borderId="5" xfId="0" applyNumberFormat="1" applyFont="1" applyBorder="1" applyAlignment="1" applyProtection="1">
      <alignment horizontal="center" vertical="center" wrapText="1"/>
    </xf>
    <xf numFmtId="0" fontId="22" fillId="0" borderId="58" xfId="0" applyFont="1" applyBorder="1" applyAlignment="1" applyProtection="1">
      <alignment horizontal="center" vertical="center"/>
      <protection locked="0"/>
    </xf>
    <xf numFmtId="0" fontId="22" fillId="0" borderId="5" xfId="0" applyFont="1" applyBorder="1" applyAlignment="1" applyProtection="1">
      <alignment horizontal="center" vertical="center"/>
      <protection locked="0"/>
    </xf>
    <xf numFmtId="0" fontId="22" fillId="0" borderId="30" xfId="0" applyFont="1" applyBorder="1" applyAlignment="1" applyProtection="1">
      <alignment horizontal="center" vertical="center" wrapText="1"/>
      <protection locked="0"/>
    </xf>
    <xf numFmtId="0" fontId="22" fillId="0" borderId="29" xfId="0" applyFont="1" applyBorder="1" applyAlignment="1" applyProtection="1">
      <alignment horizontal="center" vertical="center" wrapText="1"/>
      <protection locked="0"/>
    </xf>
    <xf numFmtId="0" fontId="22" fillId="0" borderId="24" xfId="0" applyFont="1" applyBorder="1" applyAlignment="1" applyProtection="1">
      <alignment horizontal="center" vertical="center" wrapText="1"/>
      <protection locked="0"/>
    </xf>
    <xf numFmtId="0" fontId="22" fillId="9" borderId="33" xfId="0" applyFont="1" applyFill="1" applyBorder="1" applyAlignment="1" applyProtection="1">
      <alignment horizontal="center" vertical="center" wrapText="1"/>
      <protection locked="0"/>
    </xf>
    <xf numFmtId="0" fontId="22" fillId="9" borderId="29" xfId="0" applyFont="1" applyFill="1" applyBorder="1" applyAlignment="1" applyProtection="1">
      <alignment horizontal="center" vertical="center" wrapText="1"/>
      <protection locked="0"/>
    </xf>
    <xf numFmtId="0" fontId="22" fillId="9" borderId="6" xfId="0" applyFont="1" applyFill="1" applyBorder="1" applyAlignment="1" applyProtection="1">
      <alignment horizontal="center" vertical="center" wrapText="1"/>
      <protection locked="0"/>
    </xf>
    <xf numFmtId="0" fontId="21" fillId="0" borderId="36" xfId="0" applyFont="1" applyBorder="1" applyAlignment="1" applyProtection="1">
      <alignment horizontal="center" vertical="center"/>
    </xf>
    <xf numFmtId="0" fontId="21" fillId="0" borderId="49" xfId="0" applyFont="1" applyBorder="1" applyAlignment="1" applyProtection="1">
      <alignment horizontal="center" vertical="center"/>
    </xf>
    <xf numFmtId="0" fontId="21" fillId="0" borderId="35" xfId="0" applyFont="1" applyBorder="1" applyAlignment="1" applyProtection="1">
      <alignment horizontal="center" vertical="center"/>
    </xf>
    <xf numFmtId="0" fontId="21" fillId="0" borderId="29" xfId="0" applyFont="1" applyBorder="1" applyAlignment="1" applyProtection="1">
      <alignment horizontal="center" vertical="center"/>
    </xf>
    <xf numFmtId="0" fontId="22" fillId="0" borderId="111" xfId="0" applyFont="1" applyBorder="1" applyAlignment="1" applyProtection="1">
      <alignment horizontal="center" vertical="center" wrapText="1"/>
      <protection locked="0"/>
    </xf>
    <xf numFmtId="1" fontId="21" fillId="0" borderId="8" xfId="0" applyNumberFormat="1" applyFont="1" applyBorder="1" applyAlignment="1" applyProtection="1">
      <alignment horizontal="center" vertical="center" wrapText="1"/>
    </xf>
    <xf numFmtId="0" fontId="22" fillId="0" borderId="8" xfId="0" applyFont="1" applyBorder="1" applyAlignment="1" applyProtection="1">
      <alignment horizontal="center" vertical="center"/>
      <protection locked="0"/>
    </xf>
    <xf numFmtId="0" fontId="22" fillId="0" borderId="45" xfId="0" applyFont="1" applyBorder="1" applyAlignment="1" applyProtection="1">
      <alignment horizontal="center" vertical="center" wrapText="1"/>
      <protection locked="0"/>
    </xf>
    <xf numFmtId="0" fontId="22" fillId="0" borderId="46" xfId="0" applyFont="1" applyBorder="1" applyAlignment="1" applyProtection="1">
      <alignment horizontal="center" vertical="center" wrapText="1"/>
      <protection locked="0"/>
    </xf>
    <xf numFmtId="0" fontId="22" fillId="0" borderId="47" xfId="0" applyFont="1" applyBorder="1" applyAlignment="1" applyProtection="1">
      <alignment horizontal="center" vertical="center" wrapText="1"/>
      <protection locked="0"/>
    </xf>
    <xf numFmtId="0" fontId="22" fillId="9" borderId="48" xfId="0" applyFont="1" applyFill="1" applyBorder="1" applyAlignment="1" applyProtection="1">
      <alignment horizontal="center" vertical="center" wrapText="1"/>
      <protection locked="0"/>
    </xf>
    <xf numFmtId="0" fontId="22" fillId="9" borderId="46" xfId="0" applyFont="1" applyFill="1" applyBorder="1" applyAlignment="1" applyProtection="1">
      <alignment horizontal="center" vertical="center" wrapText="1"/>
      <protection locked="0"/>
    </xf>
    <xf numFmtId="0" fontId="22" fillId="9" borderId="9" xfId="0" applyFont="1" applyFill="1" applyBorder="1" applyAlignment="1" applyProtection="1">
      <alignment horizontal="center" vertical="center" wrapText="1"/>
      <protection locked="0"/>
    </xf>
    <xf numFmtId="0" fontId="21" fillId="0" borderId="50" xfId="0" applyFont="1" applyBorder="1" applyAlignment="1" applyProtection="1">
      <alignment horizontal="center" vertical="center"/>
    </xf>
    <xf numFmtId="0" fontId="21" fillId="0" borderId="46" xfId="0" applyFont="1" applyBorder="1" applyAlignment="1" applyProtection="1">
      <alignment horizontal="center" vertical="center"/>
    </xf>
    <xf numFmtId="0" fontId="22" fillId="0" borderId="112" xfId="0" applyFont="1" applyBorder="1" applyAlignment="1" applyProtection="1">
      <alignment horizontal="center" vertical="center" wrapText="1"/>
      <protection locked="0"/>
    </xf>
    <xf numFmtId="0" fontId="14" fillId="0" borderId="113" xfId="0" applyFont="1" applyBorder="1" applyAlignment="1" applyProtection="1">
      <alignment horizontal="center" vertical="center" wrapText="1"/>
      <protection locked="0"/>
    </xf>
    <xf numFmtId="0" fontId="14" fillId="0" borderId="114" xfId="0" applyFont="1" applyBorder="1" applyAlignment="1" applyProtection="1">
      <alignment horizontal="center" vertical="center" wrapText="1"/>
      <protection locked="0"/>
    </xf>
    <xf numFmtId="0" fontId="14" fillId="0" borderId="5" xfId="0" applyFont="1" applyBorder="1" applyAlignment="1" applyProtection="1">
      <alignment horizontal="center" vertical="center" wrapText="1"/>
      <protection locked="0"/>
    </xf>
    <xf numFmtId="0" fontId="14" fillId="0" borderId="55" xfId="0" applyFont="1" applyBorder="1" applyAlignment="1" applyProtection="1">
      <alignment horizontal="center" vertical="center" wrapText="1"/>
      <protection locked="0"/>
    </xf>
    <xf numFmtId="0" fontId="14" fillId="0" borderId="56" xfId="0" applyFont="1" applyBorder="1" applyAlignment="1" applyProtection="1">
      <alignment horizontal="center" vertical="center" wrapText="1"/>
      <protection locked="0"/>
    </xf>
    <xf numFmtId="0" fontId="21" fillId="0" borderId="73" xfId="0" applyFont="1" applyBorder="1" applyAlignment="1" applyProtection="1">
      <alignment horizontal="center" vertical="center"/>
    </xf>
    <xf numFmtId="0" fontId="21" fillId="0" borderId="74" xfId="0" applyFont="1" applyBorder="1" applyAlignment="1" applyProtection="1">
      <alignment horizontal="center" vertical="center"/>
    </xf>
    <xf numFmtId="0" fontId="0" fillId="0" borderId="115" xfId="0" applyBorder="1"/>
    <xf numFmtId="0" fontId="22" fillId="0" borderId="5" xfId="0" applyFont="1" applyBorder="1" applyAlignment="1" applyProtection="1">
      <alignment horizontal="center" vertical="center" wrapText="1"/>
      <protection locked="0"/>
    </xf>
    <xf numFmtId="0" fontId="0" fillId="0" borderId="5" xfId="0" applyFont="1" applyBorder="1"/>
    <xf numFmtId="0" fontId="15" fillId="8" borderId="116" xfId="0" applyFont="1" applyFill="1" applyBorder="1" applyProtection="1"/>
    <xf numFmtId="1" fontId="21" fillId="0" borderId="58" xfId="0" applyNumberFormat="1" applyFont="1" applyBorder="1" applyAlignment="1" applyProtection="1">
      <alignment horizontal="center" vertical="center" wrapText="1"/>
    </xf>
    <xf numFmtId="0" fontId="11" fillId="0" borderId="117" xfId="0" applyFont="1" applyBorder="1" applyAlignment="1" applyProtection="1">
      <alignment horizontal="center" vertical="top" wrapText="1"/>
    </xf>
    <xf numFmtId="44" fontId="0" fillId="0" borderId="60" xfId="4" applyFont="1" applyBorder="1" applyAlignment="1" applyProtection="1">
      <alignment horizontal="center" vertical="center"/>
    </xf>
    <xf numFmtId="44" fontId="0" fillId="0" borderId="59" xfId="4" applyFont="1" applyBorder="1" applyAlignment="1" applyProtection="1">
      <alignment horizontal="center" vertical="center"/>
    </xf>
    <xf numFmtId="44" fontId="0" fillId="0" borderId="73" xfId="4" applyFont="1" applyBorder="1" applyAlignment="1" applyProtection="1">
      <alignment horizontal="center" vertical="center"/>
    </xf>
    <xf numFmtId="44" fontId="0" fillId="0" borderId="74" xfId="4" applyFont="1" applyBorder="1" applyAlignment="1" applyProtection="1">
      <alignment horizontal="center" vertical="center"/>
    </xf>
    <xf numFmtId="44" fontId="21" fillId="0" borderId="73" xfId="4" applyFont="1" applyBorder="1" applyAlignment="1" applyProtection="1">
      <alignment horizontal="center" vertical="center"/>
    </xf>
    <xf numFmtId="0" fontId="24" fillId="0" borderId="0" xfId="0" applyFont="1" applyAlignment="1">
      <alignment wrapText="1"/>
    </xf>
    <xf numFmtId="0" fontId="14" fillId="0" borderId="30" xfId="0" applyFont="1" applyBorder="1" applyAlignment="1" applyProtection="1">
      <alignment horizontal="left" vertical="center" wrapText="1"/>
      <protection locked="0"/>
    </xf>
    <xf numFmtId="0" fontId="0" fillId="0" borderId="115" xfId="0" applyBorder="1" applyAlignment="1">
      <alignment horizontal="center" vertical="center" wrapText="1"/>
    </xf>
    <xf numFmtId="0" fontId="22" fillId="0" borderId="111" xfId="0" applyFont="1" applyBorder="1" applyAlignment="1" applyProtection="1">
      <alignment horizontal="left" vertical="center" wrapText="1"/>
      <protection locked="0"/>
    </xf>
    <xf numFmtId="0" fontId="22" fillId="9" borderId="118" xfId="0" applyFont="1" applyFill="1" applyBorder="1" applyAlignment="1" applyProtection="1">
      <alignment horizontal="center" vertical="center" wrapText="1"/>
      <protection locked="0"/>
    </xf>
    <xf numFmtId="0" fontId="21" fillId="0" borderId="115" xfId="0" applyFont="1" applyBorder="1" applyAlignment="1" applyProtection="1">
      <alignment horizontal="center" vertical="center"/>
    </xf>
    <xf numFmtId="0" fontId="21" fillId="0" borderId="37" xfId="0" applyFont="1" applyBorder="1" applyAlignment="1" applyProtection="1">
      <alignment horizontal="center" vertical="center"/>
    </xf>
    <xf numFmtId="0" fontId="21" fillId="0" borderId="5" xfId="0" applyFont="1" applyBorder="1" applyAlignment="1" applyProtection="1">
      <alignment horizontal="center" vertical="center"/>
    </xf>
    <xf numFmtId="0" fontId="16" fillId="0" borderId="66" xfId="3" applyFont="1" applyBorder="1" applyAlignment="1" applyProtection="1">
      <alignment horizontal="center" vertical="center"/>
    </xf>
    <xf numFmtId="0" fontId="16" fillId="0" borderId="68" xfId="3" applyFont="1" applyBorder="1" applyAlignment="1" applyProtection="1">
      <alignment horizontal="center" vertical="center"/>
    </xf>
    <xf numFmtId="0" fontId="16" fillId="0" borderId="67" xfId="3" applyFont="1" applyBorder="1" applyAlignment="1" applyProtection="1">
      <alignment horizontal="center" vertical="center"/>
    </xf>
    <xf numFmtId="0" fontId="16" fillId="0" borderId="70" xfId="0" applyFont="1" applyBorder="1" applyAlignment="1" applyProtection="1">
      <alignment horizontal="center" vertical="center"/>
    </xf>
    <xf numFmtId="0" fontId="16" fillId="0" borderId="69" xfId="0" applyFont="1" applyBorder="1" applyAlignment="1" applyProtection="1">
      <alignment horizontal="center" vertical="center"/>
    </xf>
    <xf numFmtId="0" fontId="16" fillId="0" borderId="67" xfId="0" applyFont="1" applyBorder="1" applyAlignment="1" applyProtection="1">
      <alignment horizontal="center" vertical="center"/>
    </xf>
    <xf numFmtId="0" fontId="16" fillId="0" borderId="66" xfId="0" applyFont="1" applyFill="1" applyBorder="1" applyAlignment="1" applyProtection="1">
      <alignment horizontal="center" vertical="center"/>
    </xf>
    <xf numFmtId="0" fontId="16" fillId="0" borderId="69" xfId="0" applyFont="1" applyFill="1" applyBorder="1" applyAlignment="1" applyProtection="1">
      <alignment horizontal="center" vertical="center"/>
    </xf>
    <xf numFmtId="0" fontId="20" fillId="0" borderId="96" xfId="0" applyFont="1" applyBorder="1" applyAlignment="1" applyProtection="1">
      <alignment horizontal="left" vertical="top"/>
    </xf>
    <xf numFmtId="0" fontId="20" fillId="0" borderId="104" xfId="0" applyFont="1" applyBorder="1" applyAlignment="1" applyProtection="1">
      <alignment horizontal="left" vertical="top"/>
    </xf>
    <xf numFmtId="0" fontId="20" fillId="0" borderId="105" xfId="0" applyFont="1" applyBorder="1" applyAlignment="1" applyProtection="1">
      <alignment horizontal="left" vertical="top"/>
    </xf>
    <xf numFmtId="0" fontId="20" fillId="0" borderId="106" xfId="0" applyFont="1" applyBorder="1" applyAlignment="1" applyProtection="1">
      <alignment horizontal="left" vertical="top"/>
    </xf>
    <xf numFmtId="0" fontId="11" fillId="0" borderId="71" xfId="0" applyFont="1" applyBorder="1" applyAlignment="1" applyProtection="1">
      <alignment horizontal="right"/>
    </xf>
    <xf numFmtId="0" fontId="11" fillId="0" borderId="68" xfId="0" applyFont="1" applyBorder="1" applyAlignment="1" applyProtection="1">
      <alignment horizontal="right"/>
    </xf>
    <xf numFmtId="0" fontId="11" fillId="0" borderId="72" xfId="0" applyFont="1" applyBorder="1" applyAlignment="1" applyProtection="1">
      <alignment horizontal="right"/>
    </xf>
    <xf numFmtId="0" fontId="11" fillId="10" borderId="70" xfId="0" applyFont="1" applyFill="1" applyBorder="1" applyAlignment="1" applyProtection="1">
      <alignment horizontal="center"/>
    </xf>
    <xf numFmtId="0" fontId="11" fillId="10" borderId="67" xfId="0" applyFont="1" applyFill="1" applyBorder="1" applyAlignment="1" applyProtection="1">
      <alignment horizontal="center"/>
    </xf>
    <xf numFmtId="0" fontId="16" fillId="0" borderId="68" xfId="0" applyFont="1" applyBorder="1" applyAlignment="1" applyProtection="1">
      <alignment horizontal="center" vertical="center"/>
    </xf>
    <xf numFmtId="0" fontId="16" fillId="0" borderId="66" xfId="0" applyFont="1" applyBorder="1" applyAlignment="1" applyProtection="1">
      <alignment horizontal="center" vertical="center"/>
    </xf>
    <xf numFmtId="0" fontId="6" fillId="11" borderId="70" xfId="1" applyFont="1" applyFill="1" applyBorder="1" applyAlignment="1">
      <alignment horizontal="center" vertical="center"/>
    </xf>
    <xf numFmtId="0" fontId="6" fillId="11" borderId="68" xfId="1" applyFont="1" applyFill="1" applyBorder="1" applyAlignment="1">
      <alignment horizontal="center" vertical="center"/>
    </xf>
    <xf numFmtId="0" fontId="6" fillId="11" borderId="67" xfId="1" applyFont="1" applyFill="1" applyBorder="1" applyAlignment="1">
      <alignment horizontal="center" vertical="center"/>
    </xf>
    <xf numFmtId="0" fontId="2" fillId="5" borderId="79" xfId="1" applyFont="1" applyFill="1" applyBorder="1" applyAlignment="1">
      <alignment horizontal="center"/>
    </xf>
    <xf numFmtId="0" fontId="2" fillId="5" borderId="80" xfId="1" applyFont="1" applyFill="1" applyBorder="1" applyAlignment="1">
      <alignment horizontal="center"/>
    </xf>
    <xf numFmtId="0" fontId="2" fillId="5" borderId="81" xfId="1" applyFont="1" applyFill="1" applyBorder="1" applyAlignment="1">
      <alignment horizontal="center"/>
    </xf>
    <xf numFmtId="0" fontId="2" fillId="5" borderId="70" xfId="1" applyFont="1" applyFill="1" applyBorder="1" applyAlignment="1">
      <alignment horizontal="center"/>
    </xf>
    <xf numFmtId="0" fontId="2" fillId="5" borderId="68" xfId="1" applyFont="1" applyFill="1" applyBorder="1" applyAlignment="1">
      <alignment horizontal="center"/>
    </xf>
    <xf numFmtId="0" fontId="2" fillId="5" borderId="67" xfId="1" applyFont="1" applyFill="1" applyBorder="1" applyAlignment="1">
      <alignment horizontal="center"/>
    </xf>
    <xf numFmtId="49" fontId="6" fillId="11" borderId="14" xfId="1" applyNumberFormat="1" applyFont="1" applyFill="1" applyBorder="1" applyAlignment="1">
      <alignment horizontal="center" vertical="center"/>
    </xf>
    <xf numFmtId="49" fontId="6" fillId="11" borderId="15" xfId="1" applyNumberFormat="1" applyFont="1" applyFill="1" applyBorder="1" applyAlignment="1">
      <alignment horizontal="center" vertical="center"/>
    </xf>
    <xf numFmtId="49" fontId="6" fillId="11" borderId="16" xfId="1" applyNumberFormat="1" applyFont="1" applyFill="1" applyBorder="1" applyAlignment="1">
      <alignment horizontal="center" vertical="center"/>
    </xf>
    <xf numFmtId="0" fontId="5" fillId="0" borderId="51" xfId="1" applyFont="1" applyBorder="1" applyAlignment="1">
      <alignment vertical="center" textRotation="90"/>
    </xf>
    <xf numFmtId="0" fontId="5" fillId="0" borderId="0" xfId="1" applyFont="1" applyAlignment="1">
      <alignment vertical="center" textRotation="90"/>
    </xf>
    <xf numFmtId="0" fontId="5" fillId="0" borderId="0" xfId="1" applyFont="1" applyBorder="1" applyAlignment="1">
      <alignment horizontal="center" vertical="center"/>
    </xf>
    <xf numFmtId="0" fontId="0" fillId="0" borderId="17" xfId="0" applyBorder="1" applyAlignment="1">
      <alignment horizontal="center" wrapText="1"/>
    </xf>
    <xf numFmtId="0" fontId="0" fillId="0" borderId="51" xfId="0" applyBorder="1" applyAlignment="1">
      <alignment horizontal="center" wrapText="1"/>
    </xf>
    <xf numFmtId="0" fontId="0" fillId="0" borderId="18" xfId="0" applyBorder="1" applyAlignment="1">
      <alignment horizontal="center" wrapText="1"/>
    </xf>
    <xf numFmtId="0" fontId="0" fillId="0" borderId="19" xfId="0" applyBorder="1" applyAlignment="1">
      <alignment horizontal="center" wrapText="1"/>
    </xf>
    <xf numFmtId="0" fontId="0" fillId="0" borderId="0" xfId="0" applyBorder="1" applyAlignment="1">
      <alignment horizontal="center" wrapText="1"/>
    </xf>
    <xf numFmtId="0" fontId="0" fillId="0" borderId="13" xfId="0" applyBorder="1" applyAlignment="1">
      <alignment horizontal="center" wrapText="1"/>
    </xf>
    <xf numFmtId="0" fontId="0" fillId="0" borderId="20" xfId="0" applyBorder="1" applyAlignment="1">
      <alignment horizontal="center" wrapText="1"/>
    </xf>
    <xf numFmtId="0" fontId="0" fillId="0" borderId="52" xfId="0" applyBorder="1" applyAlignment="1">
      <alignment horizontal="center" wrapText="1"/>
    </xf>
    <xf numFmtId="0" fontId="0" fillId="0" borderId="21" xfId="0" applyBorder="1" applyAlignment="1">
      <alignment horizontal="center" wrapText="1"/>
    </xf>
  </cellXfs>
  <cellStyles count="5">
    <cellStyle name="Currency" xfId="4" builtinId="4"/>
    <cellStyle name="Normal" xfId="0" builtinId="0"/>
    <cellStyle name="Normal 2" xfId="1"/>
    <cellStyle name="Risk Items" xfId="2"/>
    <cellStyle name="Style 1" xfId="3"/>
  </cellStyles>
  <dxfs count="30">
    <dxf>
      <font>
        <b val="0"/>
        <i val="0"/>
        <strike val="0"/>
        <condense val="0"/>
        <extend val="0"/>
        <outline val="0"/>
        <shadow val="0"/>
        <u val="none"/>
        <vertAlign val="baseline"/>
        <sz val="10"/>
        <color theme="1"/>
        <name val="Calibri"/>
        <scheme val="minor"/>
      </font>
      <alignment horizontal="center" vertical="center" textRotation="0" wrapText="1" relativeIndent="0" justifyLastLine="0" shrinkToFit="0" readingOrder="0"/>
      <border diagonalUp="0" diagonalDown="0">
        <left/>
        <right style="medium">
          <color indexed="64"/>
        </right>
        <top style="medium">
          <color indexed="0"/>
        </top>
        <bottom style="medium">
          <color indexed="0"/>
        </bottom>
      </border>
      <protection locked="0" hidden="0"/>
    </dxf>
    <dxf>
      <font>
        <b val="0"/>
        <i val="0"/>
        <strike val="0"/>
        <condense val="0"/>
        <extend val="0"/>
        <outline val="0"/>
        <shadow val="0"/>
        <u val="none"/>
        <vertAlign val="baseline"/>
        <sz val="10"/>
        <color theme="1"/>
        <name val="Calibri"/>
        <family val="2"/>
        <scheme val="minor"/>
      </font>
      <alignment horizontal="center" vertical="center" textRotation="0" wrapText="1" indent="0" justifyLastLine="0" shrinkToFit="0" readingOrder="0"/>
      <border diagonalUp="0" diagonalDown="0">
        <left/>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alignment horizontal="center" vertical="center" textRotation="0" wrapText="1" indent="0" justifyLastLine="0" shrinkToFit="0" readingOrder="0"/>
      <border diagonalUp="0" diagonalDown="0">
        <left/>
        <right/>
        <top style="thin">
          <color indexed="64"/>
        </top>
        <bottom style="thin">
          <color indexed="64"/>
        </bottom>
      </border>
      <protection locked="0" hidden="0"/>
    </dxf>
    <dxf>
      <font>
        <b val="0"/>
        <i val="0"/>
        <strike val="0"/>
        <condense val="0"/>
        <extend val="0"/>
        <outline val="0"/>
        <shadow val="0"/>
        <u val="none"/>
        <vertAlign val="baseline"/>
        <sz val="10"/>
        <color theme="1"/>
        <name val="Calibri"/>
        <scheme val="minor"/>
      </font>
      <alignment horizontal="center" vertical="center" textRotation="0" wrapText="1" relativeIndent="0" justifyLastLine="0" shrinkToFit="0" readingOrder="0"/>
      <border diagonalUp="0" diagonalDown="0">
        <left style="double">
          <color indexed="64"/>
        </left>
        <right/>
        <top style="medium">
          <color indexed="0"/>
        </top>
        <bottom style="medium">
          <color indexed="0"/>
        </bottom>
      </border>
      <protection locked="0" hidden="0"/>
    </dxf>
    <dxf>
      <font>
        <b val="0"/>
        <i val="0"/>
        <strike val="0"/>
        <condense val="0"/>
        <extend val="0"/>
        <outline val="0"/>
        <shadow val="0"/>
        <u val="none"/>
        <vertAlign val="baseline"/>
        <sz val="11"/>
        <color theme="1"/>
        <name val="Calibri"/>
        <scheme val="minor"/>
      </font>
      <alignment horizontal="center" vertical="center" textRotation="0" wrapText="0" relativeIndent="0" justifyLastLine="0" shrinkToFit="0" readingOrder="0"/>
      <border diagonalUp="0" diagonalDown="0">
        <left/>
        <right style="double">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alignment horizontal="center" vertical="center" textRotation="0" wrapText="0" relativeIndent="0" justifyLastLine="0" shrinkToFit="0" readingOrder="0"/>
      <border diagonalUp="0" diagonalDown="0">
        <left style="medium">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alignment horizontal="center" vertical="center" textRotation="0" wrapText="0" relativeIndent="0" justifyLastLine="0" shrinkToFit="0" readingOrder="0"/>
      <border diagonalUp="0" diagonalDown="0">
        <left style="medium">
          <color indexed="64"/>
        </left>
        <right style="double">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scheme val="minor"/>
      </font>
      <alignment horizontal="center" vertical="center" textRotation="0" wrapText="0" relativeIndent="0" justifyLastLine="0" shrinkToFit="0" readingOrder="0"/>
      <border diagonalUp="0" diagonalDown="0">
        <left style="thin">
          <color indexed="64"/>
        </left>
        <right style="medium">
          <color indexed="64"/>
        </right>
        <top/>
        <bottom style="thin">
          <color indexed="64"/>
        </bottom>
      </border>
      <protection locked="1" hidden="0"/>
    </dxf>
    <dxf>
      <font>
        <b val="0"/>
        <i val="0"/>
        <strike val="0"/>
        <condense val="0"/>
        <extend val="0"/>
        <outline val="0"/>
        <shadow val="0"/>
        <u val="none"/>
        <vertAlign val="baseline"/>
        <sz val="11"/>
        <color theme="1"/>
        <name val="Calibri"/>
        <scheme val="minor"/>
      </font>
      <alignment horizontal="center" vertical="center" textRotation="0" wrapText="0" relativeIndent="0" justifyLastLine="0" shrinkToFit="0" readingOrder="0"/>
      <border diagonalUp="0" diagonalDown="0">
        <left style="medium">
          <color indexed="64"/>
        </left>
        <right style="thin">
          <color indexed="64"/>
        </right>
        <top/>
        <bottom style="thin">
          <color indexed="64"/>
        </bottom>
      </border>
      <protection locked="1" hidden="0"/>
    </dxf>
    <dxf>
      <font>
        <b val="0"/>
        <i val="0"/>
        <strike val="0"/>
        <condense val="0"/>
        <extend val="0"/>
        <outline val="0"/>
        <shadow val="0"/>
        <u val="none"/>
        <vertAlign val="baseline"/>
        <sz val="10"/>
        <color theme="1"/>
        <name val="Calibri"/>
        <scheme val="minor"/>
      </font>
      <fill>
        <patternFill patternType="solid">
          <fgColor indexed="64"/>
          <bgColor theme="0" tint="-0.14999847407452621"/>
        </patternFill>
      </fill>
      <alignment horizontal="center" vertical="center" textRotation="0" wrapText="1" relativeIndent="0" justifyLastLine="0" shrinkToFit="0" readingOrder="0"/>
      <border diagonalUp="0" diagonalDown="0">
        <left style="thin">
          <color indexed="64"/>
        </left>
        <right style="medium">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scheme val="minor"/>
      </font>
      <fill>
        <patternFill patternType="solid">
          <fgColor indexed="64"/>
          <bgColor theme="0" tint="-0.14999847407452621"/>
        </patternFill>
      </fill>
      <alignment horizontal="center" vertical="center" textRotation="0" wrapText="1" relativeIndent="0" justifyLastLine="0" shrinkToFit="0" readingOrder="0"/>
      <border diagonalUp="0" diagonalDown="0">
        <left style="medium">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scheme val="minor"/>
      </font>
      <fill>
        <patternFill patternType="solid">
          <fgColor indexed="64"/>
          <bgColor theme="0" tint="-0.14999847407452621"/>
        </patternFill>
      </fill>
      <alignment horizontal="center" vertical="center" textRotation="0" wrapText="1" relativeIndent="0" justifyLastLine="0" shrinkToFit="0" readingOrder="0"/>
      <border diagonalUp="0" diagonalDown="0">
        <left style="double">
          <color indexed="64"/>
        </left>
        <right style="medium">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scheme val="minor"/>
      </font>
      <alignment horizontal="center" vertical="center" textRotation="0" wrapText="1" relativeIndent="0" justifyLastLine="0" shrinkToFit="0" readingOrder="0"/>
      <border diagonalUp="0" diagonalDown="0">
        <left style="thin">
          <color indexed="64"/>
        </left>
        <right style="double">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scheme val="minor"/>
      </font>
      <alignment horizontal="center" vertical="center" textRotation="0" wrapText="1" relativeIndent="0" justifyLastLine="0" shrinkToFit="0" readingOrder="0"/>
      <border diagonalUp="0" diagonalDown="0">
        <left style="medium">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alignment horizontal="center" vertical="center" textRotation="0" wrapText="1" indent="0" justifyLastLine="0" shrinkToFit="0" readingOrder="0"/>
      <border diagonalUp="0" diagonalDown="0">
        <left style="medium">
          <color indexed="64"/>
        </left>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Calibri"/>
        <scheme val="minor"/>
      </font>
      <alignment horizontal="center" vertical="center" textRotation="0" wrapText="1" relativeIndent="0" justifyLastLine="0" shrinkToFit="0" readingOrder="0"/>
      <border diagonalUp="0" diagonalDown="0">
        <left style="medium">
          <color indexed="64"/>
        </left>
        <right style="medium">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scheme val="minor"/>
      </font>
      <alignment horizontal="center"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0"/>
        <color theme="1"/>
        <name val="Calibri"/>
        <scheme val="minor"/>
      </font>
      <alignment horizontal="center" vertical="center" textRotation="0" wrapText="0" relative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alibri"/>
        <scheme val="minor"/>
      </font>
      <numFmt numFmtId="1" formatCode="0"/>
      <alignment horizontal="center" vertical="center" textRotation="0" wrapText="1" indent="0" justifyLastLine="0" shrinkToFit="0" readingOrder="0"/>
      <border diagonalUp="0" diagonalDown="0">
        <left style="thin">
          <color indexed="64"/>
        </left>
        <right style="thin">
          <color indexed="64"/>
        </right>
        <top/>
        <bottom/>
        <vertical/>
        <horizontal/>
      </border>
      <protection locked="1" hidden="0"/>
    </dxf>
    <dxf>
      <font>
        <b val="0"/>
        <i val="0"/>
        <strike val="0"/>
        <condense val="0"/>
        <extend val="0"/>
        <outline val="0"/>
        <shadow val="0"/>
        <u val="none"/>
        <vertAlign val="baseline"/>
        <sz val="11"/>
        <color theme="1"/>
        <name val="Calibri"/>
        <scheme val="minor"/>
      </font>
      <numFmt numFmtId="1" formatCode="0"/>
      <alignment horizontal="center"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bottom style="thin">
          <color rgb="FF000000"/>
        </bottom>
      </border>
    </dxf>
    <dxf>
      <font>
        <b val="0"/>
        <i val="0"/>
        <strike val="0"/>
        <condense val="0"/>
        <extend val="0"/>
        <outline val="0"/>
        <shadow val="0"/>
        <u val="none"/>
        <vertAlign val="baseline"/>
        <sz val="10"/>
        <color rgb="FF000000"/>
        <name val="Calibri"/>
        <scheme val="none"/>
      </font>
      <alignment horizontal="center" vertical="center" textRotation="0" wrapText="1" relativeIndent="0" justifyLastLine="0" shrinkToFit="0" readingOrder="0"/>
      <protection locked="0" hidden="0"/>
    </dxf>
    <dxf>
      <border outline="0">
        <bottom style="double">
          <color rgb="FF000000"/>
        </bottom>
      </border>
    </dxf>
    <dxf>
      <font>
        <b/>
        <i val="0"/>
        <strike val="0"/>
        <condense val="0"/>
        <extend val="0"/>
        <outline val="0"/>
        <shadow val="0"/>
        <u val="none"/>
        <vertAlign val="baseline"/>
        <sz val="11"/>
        <color theme="1"/>
        <name val="Calibri"/>
        <scheme val="minor"/>
      </font>
      <alignment horizontal="center" vertical="center" textRotation="0" wrapText="1" relativeIndent="0" justifyLastLine="0" shrinkToFit="0" readingOrder="0"/>
      <border diagonalUp="0" diagonalDown="0" outline="0">
        <left style="thin">
          <color indexed="64"/>
        </left>
        <right style="thin">
          <color indexed="64"/>
        </right>
        <top/>
        <bottom/>
      </border>
      <protection locked="1" hidden="0"/>
    </dxf>
    <dxf>
      <fill>
        <patternFill>
          <bgColor rgb="FF00C85A"/>
        </patternFill>
      </fill>
    </dxf>
    <dxf>
      <fill>
        <patternFill>
          <bgColor rgb="FFFFFF00"/>
        </patternFill>
      </fill>
    </dxf>
    <dxf>
      <fill>
        <patternFill>
          <bgColor rgb="FFFF2D2D"/>
        </patternFill>
      </fill>
    </dxf>
    <dxf>
      <fill>
        <patternFill>
          <bgColor rgb="FF00C85A"/>
        </patternFill>
      </fill>
    </dxf>
    <dxf>
      <fill>
        <patternFill>
          <bgColor rgb="FFFFFF00"/>
        </patternFill>
      </fill>
    </dxf>
    <dxf>
      <fill>
        <patternFill>
          <bgColor rgb="FFFF2D2D"/>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externalLink" Target="externalLinks/externalLink1.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16</xdr:col>
      <xdr:colOff>331738</xdr:colOff>
      <xdr:row>22</xdr:row>
      <xdr:rowOff>1346</xdr:rowOff>
    </xdr:to>
    <xdr:pic>
      <xdr:nvPicPr>
        <xdr:cNvPr id="2" name="Picture 1">
          <a:extLst>
            <a:ext uri="{FF2B5EF4-FFF2-40B4-BE49-F238E27FC236}">
              <a16:creationId xmlns:a16="http://schemas.microsoft.com/office/drawing/2014/main" id="{25547115-FE70-42B9-A7C3-7589547823C8}"/>
            </a:ext>
          </a:extLst>
        </xdr:cNvPr>
        <xdr:cNvPicPr>
          <a:picLocks noChangeAspect="1"/>
        </xdr:cNvPicPr>
      </xdr:nvPicPr>
      <xdr:blipFill>
        <a:blip xmlns:r="http://schemas.openxmlformats.org/officeDocument/2006/relationships" r:embed="rId1"/>
        <a:stretch>
          <a:fillRect/>
        </a:stretch>
      </xdr:blipFill>
      <xdr:spPr>
        <a:xfrm>
          <a:off x="9546167" y="190500"/>
          <a:ext cx="4628571" cy="617142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njdotsharepointcappmcps.njdot.lan/prmo/projects/Phase%202.2/Risk%20Mgt/2-Plan/Risk%20Management%20Controlled%20Docs/RiskRegister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Register"/>
      <sheetName val="Impact and Probability Metrics"/>
      <sheetName val="Data Validation Sheet"/>
    </sheetNames>
    <sheetDataSet>
      <sheetData sheetId="0"/>
      <sheetData sheetId="1">
        <row r="17">
          <cell r="D17">
            <v>1</v>
          </cell>
          <cell r="E17">
            <v>2</v>
          </cell>
          <cell r="F17">
            <v>4</v>
          </cell>
          <cell r="G17">
            <v>7</v>
          </cell>
          <cell r="H17">
            <v>10</v>
          </cell>
        </row>
        <row r="18">
          <cell r="D18" t="str">
            <v>Very Low</v>
          </cell>
          <cell r="E18" t="str">
            <v>Low</v>
          </cell>
          <cell r="F18" t="str">
            <v>Moderate</v>
          </cell>
          <cell r="G18" t="str">
            <v>High</v>
          </cell>
          <cell r="H18" t="str">
            <v>Very High</v>
          </cell>
        </row>
      </sheetData>
      <sheetData sheetId="2"/>
    </sheetDataSet>
  </externalBook>
</externalLink>
</file>

<file path=xl/tables/table1.xml><?xml version="1.0" encoding="utf-8"?>
<table xmlns="http://schemas.openxmlformats.org/spreadsheetml/2006/main" id="29" name="Table12930" displayName="Table12930" ref="A11:T113" totalsRowShown="0" headerRowDxfId="23" dataDxfId="21" headerRowBorderDxfId="22" tableBorderDxfId="20" headerRowCellStyle="Risk Items">
  <autoFilter ref="A11:T113"/>
  <sortState ref="A12:O32">
    <sortCondition ref="D11:D32"/>
  </sortState>
  <tableColumns count="20">
    <tableColumn id="1" name="Risk Rank" dataDxfId="19">
      <calculatedColumnFormula>RANK(N12,N12:N60,0)</calculatedColumnFormula>
    </tableColumn>
    <tableColumn id="14" name="Risk Status" dataDxfId="18"/>
    <tableColumn id="2" name="Unique ID #" dataDxfId="17"/>
    <tableColumn id="18" name="Area of Project Risk" dataDxfId="16"/>
    <tableColumn id="3" name="Risk Statement" dataDxfId="15"/>
    <tableColumn id="24" name="Risk Consequnces" dataDxfId="14"/>
    <tableColumn id="4" name="Initial Risk Owner" dataDxfId="13"/>
    <tableColumn id="5" name="Risk May Occur In" dataDxfId="12"/>
    <tableColumn id="6" name="Risk Probability" dataDxfId="11"/>
    <tableColumn id="7" name="Schedule" dataDxfId="10"/>
    <tableColumn id="8" name="Cost" dataDxfId="9"/>
    <tableColumn id="9" name="Schedule_x000a_Score" dataDxfId="8">
      <calculatedColumnFormula>LEFT($J12,2)*LEFT($I12,2)</calculatedColumnFormula>
    </tableColumn>
    <tableColumn id="10" name="Cost_x000a_Score" dataDxfId="7">
      <calculatedColumnFormula>LEFT($K12,2)*LEFT($I12,2)</calculatedColumnFormula>
    </tableColumn>
    <tableColumn id="11" name="Final_x000a_Score" dataDxfId="6">
      <calculatedColumnFormula>L12+M12</calculatedColumnFormula>
    </tableColumn>
    <tableColumn id="21" name="Schedule Impact (Days)" dataDxfId="5"/>
    <tableColumn id="20" name="Cost Impact_x000a_($)" dataDxfId="4"/>
    <tableColumn id="12" name="Risk Response Strategy" dataDxfId="3"/>
    <tableColumn id="23" name="Responsible Person" dataDxfId="2"/>
    <tableColumn id="22" name="Review Date" dataDxfId="1"/>
    <tableColumn id="13" name="Risk Response Action Plan"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V114"/>
  <sheetViews>
    <sheetView topLeftCell="Q12" zoomScale="95" zoomScaleNormal="95" workbookViewId="0">
      <selection activeCell="T14" sqref="T14"/>
    </sheetView>
  </sheetViews>
  <sheetFormatPr defaultColWidth="9.140625" defaultRowHeight="15" x14ac:dyDescent="0.25"/>
  <cols>
    <col min="1" max="2" width="11.42578125" style="1" customWidth="1"/>
    <col min="3" max="3" width="12.42578125" style="1" customWidth="1"/>
    <col min="4" max="4" width="18.42578125" style="1" customWidth="1"/>
    <col min="5" max="6" width="40.7109375" style="1" customWidth="1"/>
    <col min="7" max="8" width="18.7109375" style="44" customWidth="1"/>
    <col min="9" max="9" width="19.42578125" style="1" bestFit="1" customWidth="1"/>
    <col min="10" max="10" width="17" style="1" customWidth="1"/>
    <col min="11" max="11" width="16" style="1" customWidth="1"/>
    <col min="12" max="14" width="10.7109375" style="1" customWidth="1"/>
    <col min="15" max="16" width="16.7109375" style="1" customWidth="1"/>
    <col min="17" max="19" width="19.140625" style="1" customWidth="1"/>
    <col min="20" max="20" width="58.85546875" style="1" customWidth="1"/>
    <col min="21" max="21" width="9.140625" style="1" customWidth="1"/>
    <col min="22" max="16384" width="9.140625" style="1"/>
  </cols>
  <sheetData>
    <row r="1" spans="1:22" s="81" customFormat="1" x14ac:dyDescent="0.25">
      <c r="G1" s="80"/>
      <c r="H1" s="80"/>
      <c r="L1" s="152"/>
    </row>
    <row r="2" spans="1:22" s="81" customFormat="1" ht="15.75" customHeight="1" thickBot="1" x14ac:dyDescent="0.3">
      <c r="D2" s="238" t="s">
        <v>103</v>
      </c>
      <c r="E2" s="239"/>
      <c r="F2" s="156"/>
      <c r="G2" s="133"/>
      <c r="H2" s="80"/>
      <c r="O2" s="112"/>
      <c r="P2" s="112"/>
      <c r="Q2" s="112"/>
      <c r="R2" s="112"/>
      <c r="S2" s="112"/>
      <c r="T2" s="112"/>
      <c r="U2" s="112"/>
      <c r="V2" s="112"/>
    </row>
    <row r="3" spans="1:22" ht="13.5" customHeight="1" x14ac:dyDescent="0.25">
      <c r="A3" s="105"/>
      <c r="B3" s="105"/>
      <c r="C3" s="105"/>
      <c r="D3" s="240"/>
      <c r="E3" s="241"/>
      <c r="F3" s="157"/>
      <c r="G3" s="133"/>
      <c r="H3" s="106"/>
      <c r="I3" s="153"/>
      <c r="J3" s="153"/>
      <c r="K3" s="153"/>
      <c r="L3" s="153"/>
      <c r="M3" s="153"/>
      <c r="N3" s="153"/>
      <c r="O3" s="110" t="s">
        <v>1</v>
      </c>
      <c r="P3" s="127"/>
      <c r="Q3" s="107" t="s">
        <v>104</v>
      </c>
      <c r="R3" s="107"/>
      <c r="S3" s="107"/>
      <c r="T3" s="149"/>
      <c r="U3" s="108"/>
      <c r="V3" s="108"/>
    </row>
    <row r="4" spans="1:22" ht="15.75" x14ac:dyDescent="0.25">
      <c r="A4" s="79"/>
      <c r="B4" s="79"/>
      <c r="C4" s="79"/>
      <c r="D4" s="123" t="s">
        <v>93</v>
      </c>
      <c r="G4" s="82"/>
      <c r="H4" s="80"/>
      <c r="I4" s="153"/>
      <c r="J4" s="153"/>
      <c r="K4" s="153"/>
      <c r="L4" s="153"/>
      <c r="M4" s="153"/>
      <c r="N4" s="153"/>
      <c r="O4" s="111" t="s">
        <v>0</v>
      </c>
      <c r="P4" s="124"/>
      <c r="Q4" s="108" t="s">
        <v>104</v>
      </c>
      <c r="R4" s="108"/>
      <c r="S4" s="108"/>
      <c r="T4" s="150"/>
      <c r="U4" s="108"/>
      <c r="V4" s="108"/>
    </row>
    <row r="5" spans="1:22" ht="15" hidden="1" customHeight="1" x14ac:dyDescent="0.25">
      <c r="A5" s="79"/>
      <c r="B5" s="79"/>
      <c r="C5" s="79"/>
      <c r="D5" s="83"/>
      <c r="E5" s="83"/>
      <c r="F5" s="83"/>
      <c r="G5" s="82"/>
      <c r="H5" s="80"/>
      <c r="I5" s="153"/>
      <c r="J5" s="153"/>
      <c r="K5" s="153"/>
      <c r="L5" s="153"/>
      <c r="M5" s="153"/>
      <c r="N5" s="153"/>
      <c r="O5" s="111" t="s">
        <v>2</v>
      </c>
      <c r="P5" s="124"/>
      <c r="Q5" s="108" t="s">
        <v>3</v>
      </c>
      <c r="R5" s="108"/>
      <c r="S5" s="108"/>
      <c r="T5" s="148"/>
      <c r="U5" s="126"/>
      <c r="V5" s="126"/>
    </row>
    <row r="6" spans="1:22" ht="21.75" thickBot="1" x14ac:dyDescent="0.3">
      <c r="A6" s="100"/>
      <c r="B6" s="100"/>
      <c r="C6" s="100"/>
      <c r="D6" s="102"/>
      <c r="E6" s="102"/>
      <c r="F6" s="102"/>
      <c r="G6" s="103"/>
      <c r="H6" s="80"/>
      <c r="I6" s="153"/>
      <c r="J6" s="153"/>
      <c r="K6" s="153"/>
      <c r="L6" s="153"/>
      <c r="M6" s="153"/>
      <c r="N6" s="153"/>
      <c r="O6" s="130" t="s">
        <v>115</v>
      </c>
      <c r="P6" s="128"/>
      <c r="Q6" s="108" t="s">
        <v>3</v>
      </c>
      <c r="R6" s="108"/>
      <c r="S6" s="108"/>
      <c r="T6" s="150"/>
      <c r="U6" s="108"/>
      <c r="V6" s="108"/>
    </row>
    <row r="7" spans="1:22" ht="15.75" customHeight="1" thickBot="1" x14ac:dyDescent="0.3">
      <c r="A7" s="242" t="s">
        <v>15</v>
      </c>
      <c r="B7" s="243"/>
      <c r="C7" s="244"/>
      <c r="D7" s="245"/>
      <c r="E7" s="246"/>
      <c r="F7" s="165"/>
      <c r="G7" s="134"/>
      <c r="H7" s="101"/>
      <c r="I7" s="153"/>
      <c r="J7" s="153"/>
      <c r="K7" s="153"/>
      <c r="L7" s="153"/>
      <c r="M7" s="153"/>
      <c r="N7" s="153"/>
      <c r="O7" s="131" t="s">
        <v>116</v>
      </c>
      <c r="P7" s="129"/>
      <c r="Q7" s="109" t="s">
        <v>87</v>
      </c>
      <c r="R7" s="109"/>
      <c r="S7" s="109"/>
      <c r="T7" s="151"/>
      <c r="U7" s="108"/>
      <c r="V7" s="108"/>
    </row>
    <row r="8" spans="1:22" ht="15.75" thickBot="1" x14ac:dyDescent="0.3">
      <c r="A8" s="84"/>
      <c r="B8" s="84"/>
      <c r="C8" s="85"/>
      <c r="D8" s="85"/>
      <c r="E8" s="85"/>
      <c r="F8" s="85"/>
      <c r="G8" s="104"/>
      <c r="H8" s="86"/>
      <c r="I8" s="87"/>
      <c r="J8" s="88"/>
      <c r="K8" s="89"/>
      <c r="L8" s="85"/>
      <c r="M8" s="85"/>
      <c r="N8" s="125"/>
      <c r="O8" s="139"/>
      <c r="P8" s="139"/>
      <c r="Q8" s="90"/>
      <c r="R8" s="90"/>
      <c r="S8" s="90"/>
      <c r="T8" s="90"/>
    </row>
    <row r="9" spans="1:22" s="114" customFormat="1" ht="18.75" customHeight="1" thickBot="1" x14ac:dyDescent="0.3">
      <c r="A9" s="233" t="s">
        <v>4</v>
      </c>
      <c r="B9" s="247"/>
      <c r="C9" s="247"/>
      <c r="D9" s="235"/>
      <c r="E9" s="233" t="s">
        <v>5</v>
      </c>
      <c r="F9" s="247"/>
      <c r="G9" s="247"/>
      <c r="H9" s="234"/>
      <c r="I9" s="248" t="s">
        <v>6</v>
      </c>
      <c r="J9" s="247"/>
      <c r="K9" s="247"/>
      <c r="L9" s="247"/>
      <c r="M9" s="247"/>
      <c r="N9" s="247"/>
      <c r="O9" s="247"/>
      <c r="P9" s="234"/>
      <c r="Q9" s="230" t="s">
        <v>14</v>
      </c>
      <c r="R9" s="231"/>
      <c r="S9" s="231"/>
      <c r="T9" s="232"/>
    </row>
    <row r="10" spans="1:22" s="48" customFormat="1" ht="18.75" customHeight="1" thickBot="1" x14ac:dyDescent="0.3">
      <c r="A10" s="54"/>
      <c r="B10" s="214"/>
      <c r="C10" s="117"/>
      <c r="D10" s="132"/>
      <c r="E10" s="58"/>
      <c r="F10" s="58"/>
      <c r="G10" s="233" t="s">
        <v>19</v>
      </c>
      <c r="H10" s="234"/>
      <c r="I10" s="51"/>
      <c r="J10" s="233" t="s">
        <v>13</v>
      </c>
      <c r="K10" s="235"/>
      <c r="L10" s="56"/>
      <c r="M10" s="57"/>
      <c r="N10" s="52"/>
      <c r="O10" s="236" t="s">
        <v>96</v>
      </c>
      <c r="P10" s="237"/>
      <c r="Q10" s="116"/>
      <c r="R10" s="160"/>
      <c r="S10" s="132"/>
      <c r="T10" s="55"/>
    </row>
    <row r="11" spans="1:22" s="47" customFormat="1" ht="74.099999999999994" customHeight="1" thickTop="1" thickBot="1" x14ac:dyDescent="0.3">
      <c r="A11" s="72" t="s">
        <v>7</v>
      </c>
      <c r="B11" s="216" t="s">
        <v>147</v>
      </c>
      <c r="C11" s="136" t="s">
        <v>86</v>
      </c>
      <c r="D11" s="178" t="s">
        <v>133</v>
      </c>
      <c r="E11" s="74" t="s">
        <v>8</v>
      </c>
      <c r="F11" s="166" t="s">
        <v>117</v>
      </c>
      <c r="G11" s="76" t="s">
        <v>99</v>
      </c>
      <c r="H11" s="75" t="s">
        <v>9</v>
      </c>
      <c r="I11" s="155" t="s">
        <v>10</v>
      </c>
      <c r="J11" s="76" t="s">
        <v>11</v>
      </c>
      <c r="K11" s="77" t="s">
        <v>12</v>
      </c>
      <c r="L11" s="72" t="s">
        <v>84</v>
      </c>
      <c r="M11" s="73" t="s">
        <v>83</v>
      </c>
      <c r="N11" s="78" t="s">
        <v>85</v>
      </c>
      <c r="O11" s="143" t="s">
        <v>95</v>
      </c>
      <c r="P11" s="144" t="s">
        <v>94</v>
      </c>
      <c r="Q11" s="161" t="s">
        <v>16</v>
      </c>
      <c r="R11" s="162" t="s">
        <v>113</v>
      </c>
      <c r="S11" s="164" t="s">
        <v>114</v>
      </c>
      <c r="T11" s="115" t="s">
        <v>17</v>
      </c>
    </row>
    <row r="12" spans="1:22" s="45" customFormat="1" ht="63.6" customHeight="1" thickTop="1" x14ac:dyDescent="0.25">
      <c r="A12" s="68" t="e">
        <f t="shared" ref="A12:A43" si="0">RANK(N12,N12:N60,0)</f>
        <v>#VALUE!</v>
      </c>
      <c r="B12" s="53" t="s">
        <v>149</v>
      </c>
      <c r="C12" s="137">
        <v>1</v>
      </c>
      <c r="D12" s="138" t="s">
        <v>137</v>
      </c>
      <c r="E12" s="175" t="s">
        <v>118</v>
      </c>
      <c r="F12" s="169" t="s">
        <v>119</v>
      </c>
      <c r="G12" s="69" t="s">
        <v>109</v>
      </c>
      <c r="H12" s="49" t="s">
        <v>65</v>
      </c>
      <c r="I12" s="60" t="s">
        <v>80</v>
      </c>
      <c r="J12" s="61" t="s">
        <v>102</v>
      </c>
      <c r="K12" s="70" t="s">
        <v>102</v>
      </c>
      <c r="L12" s="65">
        <f t="shared" ref="L12:L32" si="1">LEFT($J12,2)*LEFT($I12,2)</f>
        <v>8</v>
      </c>
      <c r="M12" s="66">
        <f t="shared" ref="M12:M32" si="2">LEFT($K12,2)*LEFT($I12,2)</f>
        <v>8</v>
      </c>
      <c r="N12" s="71">
        <f t="shared" ref="N12:N32" si="3">L12+M12</f>
        <v>16</v>
      </c>
      <c r="O12" s="65">
        <v>0</v>
      </c>
      <c r="P12" s="217">
        <v>0</v>
      </c>
      <c r="Q12" s="204" t="s">
        <v>69</v>
      </c>
      <c r="R12" s="163"/>
      <c r="S12" s="163"/>
      <c r="T12" s="175" t="s">
        <v>120</v>
      </c>
    </row>
    <row r="13" spans="1:22" ht="43.5" customHeight="1" x14ac:dyDescent="0.25">
      <c r="A13" s="53" t="e">
        <f t="shared" si="0"/>
        <v>#VALUE!</v>
      </c>
      <c r="B13" s="53" t="s">
        <v>149</v>
      </c>
      <c r="C13" s="138">
        <v>2</v>
      </c>
      <c r="D13" s="138" t="s">
        <v>65</v>
      </c>
      <c r="E13" s="176" t="s">
        <v>121</v>
      </c>
      <c r="F13" s="170" t="s">
        <v>122</v>
      </c>
      <c r="G13" s="59" t="s">
        <v>123</v>
      </c>
      <c r="H13" s="50" t="s">
        <v>65</v>
      </c>
      <c r="I13" s="62" t="s">
        <v>82</v>
      </c>
      <c r="J13" s="63" t="s">
        <v>80</v>
      </c>
      <c r="K13" s="64" t="s">
        <v>80</v>
      </c>
      <c r="L13" s="65">
        <f t="shared" si="1"/>
        <v>2</v>
      </c>
      <c r="M13" s="66">
        <f t="shared" si="2"/>
        <v>2</v>
      </c>
      <c r="N13" s="67">
        <f t="shared" si="3"/>
        <v>4</v>
      </c>
      <c r="O13" s="141">
        <v>0</v>
      </c>
      <c r="P13" s="218">
        <v>0</v>
      </c>
      <c r="Q13" s="205" t="s">
        <v>68</v>
      </c>
      <c r="R13" s="163"/>
      <c r="S13" s="163"/>
      <c r="T13" s="176" t="s">
        <v>124</v>
      </c>
    </row>
    <row r="14" spans="1:22" ht="87.6" customHeight="1" x14ac:dyDescent="0.25">
      <c r="A14" s="53" t="e">
        <f t="shared" si="0"/>
        <v>#VALUE!</v>
      </c>
      <c r="B14" s="53" t="s">
        <v>149</v>
      </c>
      <c r="C14" s="138">
        <v>3</v>
      </c>
      <c r="D14" s="138" t="s">
        <v>65</v>
      </c>
      <c r="E14" s="176" t="s">
        <v>125</v>
      </c>
      <c r="F14" s="170" t="s">
        <v>127</v>
      </c>
      <c r="G14" s="59" t="s">
        <v>123</v>
      </c>
      <c r="H14" s="50" t="s">
        <v>65</v>
      </c>
      <c r="I14" s="62" t="s">
        <v>80</v>
      </c>
      <c r="J14" s="63" t="s">
        <v>80</v>
      </c>
      <c r="K14" s="64" t="s">
        <v>80</v>
      </c>
      <c r="L14" s="65">
        <f t="shared" si="1"/>
        <v>4</v>
      </c>
      <c r="M14" s="66">
        <f t="shared" si="2"/>
        <v>4</v>
      </c>
      <c r="N14" s="67">
        <f t="shared" si="3"/>
        <v>8</v>
      </c>
      <c r="O14" s="141"/>
      <c r="P14" s="218"/>
      <c r="Q14" s="205" t="s">
        <v>68</v>
      </c>
      <c r="R14" s="163"/>
      <c r="S14" s="163"/>
      <c r="T14" s="176" t="s">
        <v>143</v>
      </c>
    </row>
    <row r="15" spans="1:22" ht="65.45" customHeight="1" x14ac:dyDescent="0.25">
      <c r="A15" s="53" t="e">
        <f t="shared" si="0"/>
        <v>#VALUE!</v>
      </c>
      <c r="B15" s="53" t="s">
        <v>149</v>
      </c>
      <c r="C15" s="138">
        <v>4</v>
      </c>
      <c r="D15" s="138" t="s">
        <v>65</v>
      </c>
      <c r="E15" s="176" t="s">
        <v>126</v>
      </c>
      <c r="F15" s="171" t="s">
        <v>128</v>
      </c>
      <c r="G15" s="59" t="s">
        <v>65</v>
      </c>
      <c r="H15" s="50" t="s">
        <v>65</v>
      </c>
      <c r="I15" s="62" t="s">
        <v>80</v>
      </c>
      <c r="J15" s="63" t="s">
        <v>102</v>
      </c>
      <c r="K15" s="64" t="s">
        <v>80</v>
      </c>
      <c r="L15" s="65">
        <f t="shared" si="1"/>
        <v>8</v>
      </c>
      <c r="M15" s="66">
        <f t="shared" si="2"/>
        <v>4</v>
      </c>
      <c r="N15" s="67">
        <f t="shared" si="3"/>
        <v>12</v>
      </c>
      <c r="O15" s="141"/>
      <c r="P15" s="218"/>
      <c r="Q15" s="205"/>
      <c r="R15" s="163"/>
      <c r="S15" s="163"/>
      <c r="T15" s="207"/>
    </row>
    <row r="16" spans="1:22" ht="25.5" customHeight="1" x14ac:dyDescent="0.25">
      <c r="A16" s="53" t="e">
        <f t="shared" si="0"/>
        <v>#VALUE!</v>
      </c>
      <c r="B16" s="53" t="s">
        <v>149</v>
      </c>
      <c r="C16" s="138">
        <v>5</v>
      </c>
      <c r="D16" s="138" t="s">
        <v>135</v>
      </c>
      <c r="E16" s="176" t="s">
        <v>129</v>
      </c>
      <c r="F16" s="171" t="s">
        <v>130</v>
      </c>
      <c r="G16" s="59" t="s">
        <v>109</v>
      </c>
      <c r="H16" s="50" t="s">
        <v>65</v>
      </c>
      <c r="I16" s="62" t="s">
        <v>82</v>
      </c>
      <c r="J16" s="63" t="s">
        <v>102</v>
      </c>
      <c r="K16" s="64" t="s">
        <v>131</v>
      </c>
      <c r="L16" s="65">
        <f t="shared" si="1"/>
        <v>4</v>
      </c>
      <c r="M16" s="66">
        <f t="shared" si="2"/>
        <v>7</v>
      </c>
      <c r="N16" s="67">
        <f t="shared" si="3"/>
        <v>11</v>
      </c>
      <c r="O16" s="141">
        <v>-20</v>
      </c>
      <c r="P16" s="218">
        <v>-2000000</v>
      </c>
      <c r="Q16" s="205" t="s">
        <v>73</v>
      </c>
      <c r="R16" s="163"/>
      <c r="S16" s="163"/>
      <c r="T16" s="207"/>
    </row>
    <row r="17" spans="1:20" ht="48.6" customHeight="1" x14ac:dyDescent="0.25">
      <c r="A17" s="53" t="e">
        <f t="shared" si="0"/>
        <v>#VALUE!</v>
      </c>
      <c r="B17" s="53" t="s">
        <v>149</v>
      </c>
      <c r="C17" s="138">
        <v>6</v>
      </c>
      <c r="D17" s="138" t="s">
        <v>135</v>
      </c>
      <c r="E17" s="176" t="s">
        <v>141</v>
      </c>
      <c r="F17" s="171" t="s">
        <v>132</v>
      </c>
      <c r="G17" s="59" t="s">
        <v>109</v>
      </c>
      <c r="H17" s="50" t="s">
        <v>65</v>
      </c>
      <c r="I17" s="62" t="s">
        <v>82</v>
      </c>
      <c r="J17" s="63" t="s">
        <v>82</v>
      </c>
      <c r="K17" s="64" t="s">
        <v>82</v>
      </c>
      <c r="L17" s="65">
        <f t="shared" si="1"/>
        <v>1</v>
      </c>
      <c r="M17" s="66">
        <f t="shared" si="2"/>
        <v>1</v>
      </c>
      <c r="N17" s="67">
        <f t="shared" si="3"/>
        <v>2</v>
      </c>
      <c r="O17" s="141"/>
      <c r="P17" s="218"/>
      <c r="Q17" s="205"/>
      <c r="R17" s="163"/>
      <c r="S17" s="163"/>
      <c r="T17" s="207"/>
    </row>
    <row r="18" spans="1:20" ht="33.950000000000003" customHeight="1" x14ac:dyDescent="0.25">
      <c r="A18" s="53" t="e">
        <f t="shared" si="0"/>
        <v>#VALUE!</v>
      </c>
      <c r="B18" s="53" t="s">
        <v>149</v>
      </c>
      <c r="C18" s="137">
        <v>7</v>
      </c>
      <c r="D18" s="138" t="s">
        <v>136</v>
      </c>
      <c r="E18" s="176" t="s">
        <v>139</v>
      </c>
      <c r="F18" s="171" t="s">
        <v>142</v>
      </c>
      <c r="G18" s="59" t="s">
        <v>61</v>
      </c>
      <c r="H18" s="50" t="s">
        <v>65</v>
      </c>
      <c r="I18" s="62" t="s">
        <v>79</v>
      </c>
      <c r="J18" s="63" t="s">
        <v>82</v>
      </c>
      <c r="K18" s="64" t="s">
        <v>82</v>
      </c>
      <c r="L18" s="65">
        <f t="shared" si="1"/>
        <v>3</v>
      </c>
      <c r="M18" s="66">
        <f t="shared" si="2"/>
        <v>3</v>
      </c>
      <c r="N18" s="67">
        <f t="shared" si="3"/>
        <v>6</v>
      </c>
      <c r="O18" s="141"/>
      <c r="P18" s="218"/>
      <c r="Q18" s="205"/>
      <c r="R18" s="163"/>
      <c r="S18" s="163"/>
      <c r="T18" s="207"/>
    </row>
    <row r="19" spans="1:20" ht="42.95" customHeight="1" x14ac:dyDescent="0.25">
      <c r="A19" s="53" t="e">
        <f t="shared" si="0"/>
        <v>#VALUE!</v>
      </c>
      <c r="B19" s="53" t="s">
        <v>149</v>
      </c>
      <c r="C19" s="138">
        <v>8</v>
      </c>
      <c r="D19" s="138" t="s">
        <v>136</v>
      </c>
      <c r="E19" s="176" t="s">
        <v>140</v>
      </c>
      <c r="F19" s="171" t="s">
        <v>154</v>
      </c>
      <c r="G19" s="59" t="s">
        <v>134</v>
      </c>
      <c r="H19" s="50" t="s">
        <v>65</v>
      </c>
      <c r="I19" s="62" t="s">
        <v>82</v>
      </c>
      <c r="J19" s="63" t="s">
        <v>82</v>
      </c>
      <c r="K19" s="64" t="s">
        <v>82</v>
      </c>
      <c r="L19" s="65">
        <f t="shared" si="1"/>
        <v>1</v>
      </c>
      <c r="M19" s="66">
        <f t="shared" si="2"/>
        <v>1</v>
      </c>
      <c r="N19" s="67">
        <f t="shared" si="3"/>
        <v>2</v>
      </c>
      <c r="O19" s="141"/>
      <c r="P19" s="218"/>
      <c r="Q19" s="205"/>
      <c r="R19" s="163"/>
      <c r="S19" s="163"/>
      <c r="T19" s="207"/>
    </row>
    <row r="20" spans="1:20" ht="60.95" customHeight="1" x14ac:dyDescent="0.25">
      <c r="A20" s="53" t="e">
        <f t="shared" si="0"/>
        <v>#VALUE!</v>
      </c>
      <c r="B20" s="53" t="s">
        <v>151</v>
      </c>
      <c r="C20" s="138">
        <v>9</v>
      </c>
      <c r="D20" s="138" t="s">
        <v>136</v>
      </c>
      <c r="E20" s="176" t="s">
        <v>158</v>
      </c>
      <c r="F20" s="171" t="s">
        <v>144</v>
      </c>
      <c r="G20" s="59" t="s">
        <v>110</v>
      </c>
      <c r="H20" s="50" t="s">
        <v>65</v>
      </c>
      <c r="I20" s="62" t="s">
        <v>80</v>
      </c>
      <c r="J20" s="63" t="s">
        <v>160</v>
      </c>
      <c r="K20" s="64" t="s">
        <v>160</v>
      </c>
      <c r="L20" s="65">
        <f t="shared" si="1"/>
        <v>20</v>
      </c>
      <c r="M20" s="66">
        <f t="shared" si="2"/>
        <v>20</v>
      </c>
      <c r="N20" s="67">
        <f t="shared" si="3"/>
        <v>40</v>
      </c>
      <c r="O20" s="141"/>
      <c r="P20" s="218"/>
      <c r="Q20" s="205"/>
      <c r="R20" s="163"/>
      <c r="S20" s="163"/>
      <c r="T20" s="222" t="s">
        <v>159</v>
      </c>
    </row>
    <row r="21" spans="1:20" ht="15" customHeight="1" x14ac:dyDescent="0.25">
      <c r="A21" s="53" t="e">
        <f t="shared" si="0"/>
        <v>#VALUE!</v>
      </c>
      <c r="B21" s="53" t="s">
        <v>149</v>
      </c>
      <c r="C21" s="138">
        <v>10</v>
      </c>
      <c r="D21" s="138" t="s">
        <v>136</v>
      </c>
      <c r="E21" s="176" t="s">
        <v>145</v>
      </c>
      <c r="F21" s="171" t="s">
        <v>146</v>
      </c>
      <c r="G21" s="59" t="s">
        <v>61</v>
      </c>
      <c r="H21" s="50" t="s">
        <v>65</v>
      </c>
      <c r="I21" s="62" t="s">
        <v>80</v>
      </c>
      <c r="J21" s="63" t="s">
        <v>131</v>
      </c>
      <c r="K21" s="64" t="s">
        <v>131</v>
      </c>
      <c r="L21" s="65">
        <f t="shared" si="1"/>
        <v>14</v>
      </c>
      <c r="M21" s="66">
        <f t="shared" si="2"/>
        <v>14</v>
      </c>
      <c r="N21" s="67">
        <f t="shared" si="3"/>
        <v>28</v>
      </c>
      <c r="O21" s="141"/>
      <c r="P21" s="218"/>
      <c r="Q21" s="205"/>
      <c r="R21" s="163"/>
      <c r="S21" s="163"/>
      <c r="T21" s="207"/>
    </row>
    <row r="22" spans="1:20" ht="34.5" customHeight="1" x14ac:dyDescent="0.25">
      <c r="A22" s="53" t="e">
        <f t="shared" si="0"/>
        <v>#VALUE!</v>
      </c>
      <c r="B22" s="53" t="s">
        <v>149</v>
      </c>
      <c r="C22" s="138">
        <v>11</v>
      </c>
      <c r="D22" s="138" t="s">
        <v>135</v>
      </c>
      <c r="E22" s="176" t="s">
        <v>152</v>
      </c>
      <c r="F22" s="171" t="s">
        <v>153</v>
      </c>
      <c r="G22" s="59" t="s">
        <v>109</v>
      </c>
      <c r="H22" s="50" t="s">
        <v>65</v>
      </c>
      <c r="I22" s="62" t="s">
        <v>82</v>
      </c>
      <c r="J22" s="63" t="s">
        <v>80</v>
      </c>
      <c r="K22" s="64" t="s">
        <v>102</v>
      </c>
      <c r="L22" s="65">
        <f t="shared" si="1"/>
        <v>2</v>
      </c>
      <c r="M22" s="66">
        <f t="shared" si="2"/>
        <v>4</v>
      </c>
      <c r="N22" s="67">
        <f t="shared" si="3"/>
        <v>6</v>
      </c>
      <c r="O22" s="141"/>
      <c r="P22" s="218"/>
      <c r="Q22" s="205"/>
      <c r="R22" s="163"/>
      <c r="S22" s="163"/>
      <c r="T22" s="207"/>
    </row>
    <row r="23" spans="1:20" ht="62.45" customHeight="1" x14ac:dyDescent="0.25">
      <c r="A23" s="53" t="e">
        <f t="shared" si="0"/>
        <v>#VALUE!</v>
      </c>
      <c r="B23" s="53" t="s">
        <v>149</v>
      </c>
      <c r="C23" s="138">
        <v>12</v>
      </c>
      <c r="D23" s="138" t="s">
        <v>136</v>
      </c>
      <c r="E23" s="176" t="s">
        <v>155</v>
      </c>
      <c r="F23" s="171" t="s">
        <v>156</v>
      </c>
      <c r="G23" s="59" t="s">
        <v>65</v>
      </c>
      <c r="H23" s="50" t="s">
        <v>65</v>
      </c>
      <c r="I23" s="62" t="s">
        <v>82</v>
      </c>
      <c r="J23" s="63" t="s">
        <v>80</v>
      </c>
      <c r="K23" s="64" t="s">
        <v>80</v>
      </c>
      <c r="L23" s="65">
        <f t="shared" si="1"/>
        <v>2</v>
      </c>
      <c r="M23" s="66">
        <f t="shared" si="2"/>
        <v>2</v>
      </c>
      <c r="N23" s="67">
        <f t="shared" si="3"/>
        <v>4</v>
      </c>
      <c r="O23" s="141">
        <v>21</v>
      </c>
      <c r="P23" s="218"/>
      <c r="Q23" s="205"/>
      <c r="R23" s="163"/>
      <c r="S23" s="163"/>
      <c r="T23" s="176" t="s">
        <v>157</v>
      </c>
    </row>
    <row r="24" spans="1:20" ht="72.599999999999994" customHeight="1" x14ac:dyDescent="0.25">
      <c r="A24" s="53" t="e">
        <f t="shared" si="0"/>
        <v>#VALUE!</v>
      </c>
      <c r="B24" s="53" t="s">
        <v>149</v>
      </c>
      <c r="C24" s="137">
        <v>13</v>
      </c>
      <c r="D24" s="138" t="s">
        <v>136</v>
      </c>
      <c r="E24" s="176" t="s">
        <v>161</v>
      </c>
      <c r="F24" s="171" t="s">
        <v>162</v>
      </c>
      <c r="G24" s="59" t="s">
        <v>109</v>
      </c>
      <c r="H24" s="50" t="s">
        <v>65</v>
      </c>
      <c r="I24" s="62" t="s">
        <v>79</v>
      </c>
      <c r="J24" s="63" t="s">
        <v>102</v>
      </c>
      <c r="K24" s="64" t="s">
        <v>102</v>
      </c>
      <c r="L24" s="65">
        <f t="shared" si="1"/>
        <v>12</v>
      </c>
      <c r="M24" s="66">
        <f t="shared" si="2"/>
        <v>12</v>
      </c>
      <c r="N24" s="67">
        <f t="shared" si="3"/>
        <v>24</v>
      </c>
      <c r="O24" s="141"/>
      <c r="P24" s="218"/>
      <c r="Q24" s="205"/>
      <c r="R24" s="163"/>
      <c r="S24" s="163"/>
      <c r="T24" s="207"/>
    </row>
    <row r="25" spans="1:20" ht="41.45" customHeight="1" x14ac:dyDescent="0.25">
      <c r="A25" s="53" t="e">
        <f t="shared" si="0"/>
        <v>#VALUE!</v>
      </c>
      <c r="B25" s="53" t="s">
        <v>149</v>
      </c>
      <c r="C25" s="138">
        <v>14</v>
      </c>
      <c r="D25" s="138" t="s">
        <v>60</v>
      </c>
      <c r="E25" s="176" t="s">
        <v>163</v>
      </c>
      <c r="F25" s="171" t="s">
        <v>173</v>
      </c>
      <c r="G25" s="59" t="s">
        <v>60</v>
      </c>
      <c r="H25" s="50" t="s">
        <v>65</v>
      </c>
      <c r="I25" s="62" t="s">
        <v>80</v>
      </c>
      <c r="J25" s="63" t="s">
        <v>80</v>
      </c>
      <c r="K25" s="64" t="s">
        <v>80</v>
      </c>
      <c r="L25" s="65">
        <f t="shared" si="1"/>
        <v>4</v>
      </c>
      <c r="M25" s="66">
        <f t="shared" si="2"/>
        <v>4</v>
      </c>
      <c r="N25" s="67">
        <f t="shared" si="3"/>
        <v>8</v>
      </c>
      <c r="O25" s="141"/>
      <c r="P25" s="218"/>
      <c r="Q25" s="205"/>
      <c r="R25" s="163"/>
      <c r="S25" s="163"/>
      <c r="T25" s="176" t="s">
        <v>174</v>
      </c>
    </row>
    <row r="26" spans="1:20" ht="26.45" customHeight="1" x14ac:dyDescent="0.25">
      <c r="A26" s="53" t="e">
        <f t="shared" si="0"/>
        <v>#VALUE!</v>
      </c>
      <c r="B26" s="53" t="s">
        <v>149</v>
      </c>
      <c r="C26" s="138">
        <v>15</v>
      </c>
      <c r="D26" s="138" t="s">
        <v>134</v>
      </c>
      <c r="E26" s="176" t="s">
        <v>164</v>
      </c>
      <c r="F26" s="171"/>
      <c r="G26" s="59" t="s">
        <v>109</v>
      </c>
      <c r="H26" s="50" t="s">
        <v>65</v>
      </c>
      <c r="I26" s="62" t="s">
        <v>80</v>
      </c>
      <c r="J26" s="63" t="s">
        <v>102</v>
      </c>
      <c r="K26" s="64" t="s">
        <v>102</v>
      </c>
      <c r="L26" s="65">
        <f t="shared" si="1"/>
        <v>8</v>
      </c>
      <c r="M26" s="66">
        <f t="shared" si="2"/>
        <v>8</v>
      </c>
      <c r="N26" s="67">
        <f t="shared" si="3"/>
        <v>16</v>
      </c>
      <c r="O26" s="141"/>
      <c r="P26" s="218"/>
      <c r="Q26" s="205"/>
      <c r="R26" s="163"/>
      <c r="S26" s="163"/>
      <c r="T26" s="207"/>
    </row>
    <row r="27" spans="1:20" ht="38.1" customHeight="1" x14ac:dyDescent="0.25">
      <c r="A27" s="53" t="e">
        <f t="shared" si="0"/>
        <v>#VALUE!</v>
      </c>
      <c r="B27" s="53" t="s">
        <v>149</v>
      </c>
      <c r="C27" s="138">
        <v>16</v>
      </c>
      <c r="D27" s="138" t="s">
        <v>60</v>
      </c>
      <c r="E27" s="176" t="s">
        <v>165</v>
      </c>
      <c r="F27" s="171" t="s">
        <v>175</v>
      </c>
      <c r="G27" s="59" t="s">
        <v>108</v>
      </c>
      <c r="H27" s="50" t="s">
        <v>65</v>
      </c>
      <c r="I27" s="62" t="s">
        <v>80</v>
      </c>
      <c r="J27" s="63" t="s">
        <v>80</v>
      </c>
      <c r="K27" s="64" t="s">
        <v>102</v>
      </c>
      <c r="L27" s="65">
        <f t="shared" si="1"/>
        <v>4</v>
      </c>
      <c r="M27" s="66">
        <f t="shared" si="2"/>
        <v>8</v>
      </c>
      <c r="N27" s="67">
        <f t="shared" si="3"/>
        <v>12</v>
      </c>
      <c r="O27" s="141"/>
      <c r="P27" s="218"/>
      <c r="Q27" s="205"/>
      <c r="R27" s="163"/>
      <c r="S27" s="163"/>
      <c r="T27" s="176"/>
    </row>
    <row r="28" spans="1:20" ht="32.1" customHeight="1" x14ac:dyDescent="0.25">
      <c r="A28" s="53" t="e">
        <f t="shared" si="0"/>
        <v>#VALUE!</v>
      </c>
      <c r="B28" s="53" t="s">
        <v>149</v>
      </c>
      <c r="C28" s="138">
        <v>17</v>
      </c>
      <c r="D28" s="138" t="s">
        <v>134</v>
      </c>
      <c r="E28" s="176" t="s">
        <v>166</v>
      </c>
      <c r="F28" s="171" t="s">
        <v>176</v>
      </c>
      <c r="G28" s="59" t="s">
        <v>134</v>
      </c>
      <c r="H28" s="50" t="s">
        <v>65</v>
      </c>
      <c r="I28" s="62" t="s">
        <v>82</v>
      </c>
      <c r="J28" s="63" t="s">
        <v>80</v>
      </c>
      <c r="K28" s="64" t="s">
        <v>80</v>
      </c>
      <c r="L28" s="65">
        <f t="shared" si="1"/>
        <v>2</v>
      </c>
      <c r="M28" s="66">
        <f t="shared" si="2"/>
        <v>2</v>
      </c>
      <c r="N28" s="67">
        <f t="shared" si="3"/>
        <v>4</v>
      </c>
      <c r="O28" s="141"/>
      <c r="P28" s="218"/>
      <c r="Q28" s="205"/>
      <c r="R28" s="163"/>
      <c r="S28" s="163"/>
      <c r="T28" s="207"/>
    </row>
    <row r="29" spans="1:20" ht="30" customHeight="1" x14ac:dyDescent="0.25">
      <c r="A29" s="53" t="e">
        <f t="shared" si="0"/>
        <v>#VALUE!</v>
      </c>
      <c r="B29" s="53" t="s">
        <v>149</v>
      </c>
      <c r="C29" s="138">
        <v>18</v>
      </c>
      <c r="D29" s="138" t="s">
        <v>135</v>
      </c>
      <c r="E29" s="176" t="s">
        <v>177</v>
      </c>
      <c r="F29" s="171" t="s">
        <v>178</v>
      </c>
      <c r="G29" s="59" t="s">
        <v>109</v>
      </c>
      <c r="H29" s="50" t="s">
        <v>65</v>
      </c>
      <c r="I29" s="62" t="s">
        <v>82</v>
      </c>
      <c r="J29" s="63" t="s">
        <v>82</v>
      </c>
      <c r="K29" s="64" t="s">
        <v>82</v>
      </c>
      <c r="L29" s="65">
        <f t="shared" si="1"/>
        <v>1</v>
      </c>
      <c r="M29" s="66">
        <f t="shared" si="2"/>
        <v>1</v>
      </c>
      <c r="N29" s="67">
        <f t="shared" si="3"/>
        <v>2</v>
      </c>
      <c r="O29" s="141"/>
      <c r="P29" s="218"/>
      <c r="Q29" s="205"/>
      <c r="R29" s="163"/>
      <c r="S29" s="163"/>
      <c r="T29" s="207"/>
    </row>
    <row r="30" spans="1:20" ht="72.599999999999994" customHeight="1" x14ac:dyDescent="0.25">
      <c r="A30" s="53" t="e">
        <f t="shared" si="0"/>
        <v>#VALUE!</v>
      </c>
      <c r="B30" s="53" t="s">
        <v>149</v>
      </c>
      <c r="C30" s="137">
        <v>19</v>
      </c>
      <c r="D30" s="138" t="s">
        <v>134</v>
      </c>
      <c r="E30" s="176" t="s">
        <v>167</v>
      </c>
      <c r="F30" s="171" t="s">
        <v>179</v>
      </c>
      <c r="G30" s="59" t="s">
        <v>61</v>
      </c>
      <c r="H30" s="50" t="s">
        <v>65</v>
      </c>
      <c r="I30" s="62" t="s">
        <v>79</v>
      </c>
      <c r="J30" s="63" t="s">
        <v>131</v>
      </c>
      <c r="K30" s="64" t="s">
        <v>102</v>
      </c>
      <c r="L30" s="65">
        <f t="shared" si="1"/>
        <v>21</v>
      </c>
      <c r="M30" s="66">
        <f t="shared" si="2"/>
        <v>12</v>
      </c>
      <c r="N30" s="67">
        <f t="shared" si="3"/>
        <v>33</v>
      </c>
      <c r="O30" s="141"/>
      <c r="P30" s="218"/>
      <c r="Q30" s="205"/>
      <c r="R30" s="163"/>
      <c r="S30" s="163"/>
      <c r="T30" s="207"/>
    </row>
    <row r="31" spans="1:20" ht="47.1" customHeight="1" x14ac:dyDescent="0.25">
      <c r="A31" s="53" t="e">
        <f t="shared" si="0"/>
        <v>#VALUE!</v>
      </c>
      <c r="B31" s="53" t="s">
        <v>149</v>
      </c>
      <c r="C31" s="138">
        <v>20</v>
      </c>
      <c r="D31" s="138" t="s">
        <v>60</v>
      </c>
      <c r="E31" s="176" t="s">
        <v>168</v>
      </c>
      <c r="F31" s="171" t="s">
        <v>180</v>
      </c>
      <c r="G31" s="59" t="s">
        <v>134</v>
      </c>
      <c r="H31" s="50" t="s">
        <v>65</v>
      </c>
      <c r="I31" s="62" t="s">
        <v>79</v>
      </c>
      <c r="J31" s="63" t="s">
        <v>82</v>
      </c>
      <c r="K31" s="64" t="s">
        <v>82</v>
      </c>
      <c r="L31" s="65">
        <f t="shared" si="1"/>
        <v>3</v>
      </c>
      <c r="M31" s="66">
        <f t="shared" si="2"/>
        <v>3</v>
      </c>
      <c r="N31" s="67">
        <f t="shared" si="3"/>
        <v>6</v>
      </c>
      <c r="O31" s="141"/>
      <c r="P31" s="219"/>
      <c r="Q31" s="206"/>
      <c r="R31" s="211"/>
      <c r="S31" s="163"/>
      <c r="T31" s="207"/>
    </row>
    <row r="32" spans="1:20" ht="35.450000000000003" customHeight="1" thickBot="1" x14ac:dyDescent="0.3">
      <c r="A32" s="91" t="e">
        <f t="shared" si="0"/>
        <v>#VALUE!</v>
      </c>
      <c r="B32" s="53" t="s">
        <v>149</v>
      </c>
      <c r="C32" s="138">
        <v>21</v>
      </c>
      <c r="D32" s="138" t="s">
        <v>134</v>
      </c>
      <c r="E32" s="177" t="s">
        <v>169</v>
      </c>
      <c r="F32" s="172" t="s">
        <v>181</v>
      </c>
      <c r="G32" s="92" t="s">
        <v>134</v>
      </c>
      <c r="H32" s="93" t="s">
        <v>65</v>
      </c>
      <c r="I32" s="94" t="s">
        <v>82</v>
      </c>
      <c r="J32" s="95" t="s">
        <v>102</v>
      </c>
      <c r="K32" s="96" t="s">
        <v>102</v>
      </c>
      <c r="L32" s="97">
        <f t="shared" si="1"/>
        <v>4</v>
      </c>
      <c r="M32" s="98">
        <f t="shared" si="2"/>
        <v>4</v>
      </c>
      <c r="N32" s="99">
        <f t="shared" si="3"/>
        <v>8</v>
      </c>
      <c r="O32" s="140"/>
      <c r="P32" s="220"/>
      <c r="Q32" s="206"/>
      <c r="R32" s="211"/>
      <c r="S32" s="163"/>
      <c r="T32" s="208"/>
    </row>
    <row r="33" spans="1:20" ht="39" thickBot="1" x14ac:dyDescent="0.3">
      <c r="A33" s="179" t="e">
        <f t="shared" si="0"/>
        <v>#VALUE!</v>
      </c>
      <c r="B33" s="53" t="s">
        <v>149</v>
      </c>
      <c r="C33" s="181">
        <v>22</v>
      </c>
      <c r="D33" s="138" t="s">
        <v>60</v>
      </c>
      <c r="E33" s="223" t="s">
        <v>170</v>
      </c>
      <c r="F33" s="170" t="s">
        <v>182</v>
      </c>
      <c r="G33" s="183" t="s">
        <v>60</v>
      </c>
      <c r="H33" s="184" t="s">
        <v>65</v>
      </c>
      <c r="I33" s="185" t="s">
        <v>80</v>
      </c>
      <c r="J33" s="186" t="s">
        <v>102</v>
      </c>
      <c r="K33" s="187" t="s">
        <v>80</v>
      </c>
      <c r="L33" s="188">
        <f t="shared" ref="L33:L64" si="4">LEFT($J33,2)*LEFT($I33,2)</f>
        <v>8</v>
      </c>
      <c r="M33" s="189">
        <f t="shared" ref="M33:M64" si="5">LEFT($K33,2)*LEFT($I33,2)</f>
        <v>4</v>
      </c>
      <c r="N33" s="190">
        <f t="shared" ref="N33:N64" si="6">L33+M33</f>
        <v>12</v>
      </c>
      <c r="O33" s="191"/>
      <c r="P33" s="221"/>
      <c r="Q33" s="212"/>
      <c r="R33" s="211"/>
      <c r="S33" s="163"/>
      <c r="T33" s="192"/>
    </row>
    <row r="34" spans="1:20" ht="26.25" thickBot="1" x14ac:dyDescent="0.3">
      <c r="A34" s="179" t="e">
        <f t="shared" si="0"/>
        <v>#VALUE!</v>
      </c>
      <c r="B34" s="53" t="s">
        <v>149</v>
      </c>
      <c r="C34" s="181">
        <v>23</v>
      </c>
      <c r="D34" s="138" t="s">
        <v>60</v>
      </c>
      <c r="E34" s="223" t="s">
        <v>171</v>
      </c>
      <c r="F34" s="170" t="s">
        <v>183</v>
      </c>
      <c r="G34" s="183" t="s">
        <v>60</v>
      </c>
      <c r="H34" s="184" t="s">
        <v>65</v>
      </c>
      <c r="I34" s="185" t="s">
        <v>79</v>
      </c>
      <c r="J34" s="186" t="s">
        <v>131</v>
      </c>
      <c r="K34" s="187" t="s">
        <v>102</v>
      </c>
      <c r="L34" s="188">
        <f t="shared" si="4"/>
        <v>21</v>
      </c>
      <c r="M34" s="189">
        <f t="shared" si="5"/>
        <v>12</v>
      </c>
      <c r="N34" s="190">
        <f t="shared" si="6"/>
        <v>33</v>
      </c>
      <c r="O34" s="191"/>
      <c r="P34" s="221"/>
      <c r="Q34" s="212"/>
      <c r="R34" s="211"/>
      <c r="S34" s="163"/>
      <c r="T34" s="192"/>
    </row>
    <row r="35" spans="1:20" ht="43.5" customHeight="1" thickBot="1" x14ac:dyDescent="0.3">
      <c r="A35" s="179" t="e">
        <f t="shared" si="0"/>
        <v>#VALUE!</v>
      </c>
      <c r="B35" s="53" t="s">
        <v>149</v>
      </c>
      <c r="C35" s="181">
        <v>24</v>
      </c>
      <c r="D35" s="138" t="s">
        <v>134</v>
      </c>
      <c r="E35" s="223" t="s">
        <v>172</v>
      </c>
      <c r="F35" s="170" t="s">
        <v>184</v>
      </c>
      <c r="G35" s="183" t="s">
        <v>108</v>
      </c>
      <c r="H35" s="184" t="s">
        <v>65</v>
      </c>
      <c r="I35" s="185" t="s">
        <v>79</v>
      </c>
      <c r="J35" s="186" t="s">
        <v>102</v>
      </c>
      <c r="K35" s="187" t="s">
        <v>102</v>
      </c>
      <c r="L35" s="188">
        <f t="shared" si="4"/>
        <v>12</v>
      </c>
      <c r="M35" s="189">
        <f t="shared" si="5"/>
        <v>12</v>
      </c>
      <c r="N35" s="201">
        <f t="shared" si="6"/>
        <v>24</v>
      </c>
      <c r="O35" s="191"/>
      <c r="P35" s="221"/>
      <c r="Q35" s="212"/>
      <c r="R35" s="211"/>
      <c r="S35" s="163"/>
      <c r="T35" s="192"/>
    </row>
    <row r="36" spans="1:20" ht="39" thickBot="1" x14ac:dyDescent="0.3">
      <c r="A36" s="179" t="e">
        <f t="shared" si="0"/>
        <v>#VALUE!</v>
      </c>
      <c r="B36" s="53" t="s">
        <v>150</v>
      </c>
      <c r="C36" s="181">
        <v>25</v>
      </c>
      <c r="D36" s="138" t="s">
        <v>134</v>
      </c>
      <c r="E36" s="223" t="s">
        <v>185</v>
      </c>
      <c r="F36" s="167" t="s">
        <v>186</v>
      </c>
      <c r="G36" s="183" t="s">
        <v>134</v>
      </c>
      <c r="H36" s="184" t="s">
        <v>65</v>
      </c>
      <c r="I36" s="185" t="s">
        <v>82</v>
      </c>
      <c r="J36" s="186" t="s">
        <v>82</v>
      </c>
      <c r="K36" s="226" t="s">
        <v>82</v>
      </c>
      <c r="L36" s="229">
        <f t="shared" si="4"/>
        <v>1</v>
      </c>
      <c r="M36" s="229">
        <f t="shared" si="5"/>
        <v>1</v>
      </c>
      <c r="N36" s="229">
        <f t="shared" si="6"/>
        <v>2</v>
      </c>
      <c r="O36" s="227"/>
      <c r="P36" s="221"/>
      <c r="Q36" s="212"/>
      <c r="R36" s="211"/>
      <c r="S36" s="163"/>
      <c r="T36" s="192"/>
    </row>
    <row r="37" spans="1:20" ht="51.75" thickBot="1" x14ac:dyDescent="0.3">
      <c r="A37" s="179" t="e">
        <f t="shared" si="0"/>
        <v>#VALUE!</v>
      </c>
      <c r="B37" s="53" t="s">
        <v>149</v>
      </c>
      <c r="C37" s="181">
        <v>26</v>
      </c>
      <c r="D37" s="138" t="s">
        <v>60</v>
      </c>
      <c r="E37" s="223" t="s">
        <v>187</v>
      </c>
      <c r="F37" s="170" t="s">
        <v>188</v>
      </c>
      <c r="G37" s="183" t="s">
        <v>60</v>
      </c>
      <c r="H37" s="184" t="s">
        <v>65</v>
      </c>
      <c r="I37" s="185" t="s">
        <v>82</v>
      </c>
      <c r="J37" s="186" t="s">
        <v>102</v>
      </c>
      <c r="K37" s="226" t="s">
        <v>102</v>
      </c>
      <c r="L37" s="229">
        <f t="shared" si="4"/>
        <v>4</v>
      </c>
      <c r="M37" s="229">
        <f t="shared" si="5"/>
        <v>4</v>
      </c>
      <c r="N37" s="229">
        <f t="shared" si="6"/>
        <v>8</v>
      </c>
      <c r="O37" s="227"/>
      <c r="P37" s="221"/>
      <c r="Q37" s="212"/>
      <c r="R37" s="211"/>
      <c r="S37" s="163"/>
      <c r="T37" s="192"/>
    </row>
    <row r="38" spans="1:20" ht="81.599999999999994" customHeight="1" thickBot="1" x14ac:dyDescent="0.3">
      <c r="A38" s="179" t="e">
        <f t="shared" si="0"/>
        <v>#VALUE!</v>
      </c>
      <c r="B38" s="53" t="s">
        <v>149</v>
      </c>
      <c r="C38" s="181">
        <v>27</v>
      </c>
      <c r="D38" s="138" t="s">
        <v>134</v>
      </c>
      <c r="E38" s="223" t="s">
        <v>190</v>
      </c>
      <c r="F38" s="167"/>
      <c r="G38" s="183" t="s">
        <v>134</v>
      </c>
      <c r="H38" s="184" t="s">
        <v>65</v>
      </c>
      <c r="I38" s="185" t="s">
        <v>82</v>
      </c>
      <c r="J38" s="186" t="s">
        <v>102</v>
      </c>
      <c r="K38" s="226" t="s">
        <v>131</v>
      </c>
      <c r="L38" s="229">
        <f t="shared" si="4"/>
        <v>4</v>
      </c>
      <c r="M38" s="229">
        <f t="shared" si="5"/>
        <v>7</v>
      </c>
      <c r="N38" s="229">
        <f t="shared" si="6"/>
        <v>11</v>
      </c>
      <c r="O38" s="227"/>
      <c r="P38" s="221"/>
      <c r="Q38" s="212"/>
      <c r="R38" s="224" t="s">
        <v>189</v>
      </c>
      <c r="S38" s="163"/>
      <c r="T38" s="192"/>
    </row>
    <row r="39" spans="1:20" ht="102.75" thickBot="1" x14ac:dyDescent="0.3">
      <c r="A39" s="179" t="e">
        <f t="shared" si="0"/>
        <v>#VALUE!</v>
      </c>
      <c r="B39" s="53"/>
      <c r="C39" s="181">
        <v>28</v>
      </c>
      <c r="D39" s="138" t="s">
        <v>136</v>
      </c>
      <c r="E39" s="223" t="s">
        <v>191</v>
      </c>
      <c r="F39" s="170" t="s">
        <v>193</v>
      </c>
      <c r="G39" s="183" t="s">
        <v>60</v>
      </c>
      <c r="H39" s="184" t="s">
        <v>65</v>
      </c>
      <c r="I39" s="185" t="s">
        <v>80</v>
      </c>
      <c r="J39" s="186" t="s">
        <v>82</v>
      </c>
      <c r="K39" s="226" t="s">
        <v>80</v>
      </c>
      <c r="L39" s="229">
        <f t="shared" si="4"/>
        <v>2</v>
      </c>
      <c r="M39" s="229">
        <f t="shared" si="5"/>
        <v>4</v>
      </c>
      <c r="N39" s="229">
        <f t="shared" si="6"/>
        <v>6</v>
      </c>
      <c r="O39" s="227"/>
      <c r="P39" s="221"/>
      <c r="Q39" s="212"/>
      <c r="R39" s="211"/>
      <c r="S39" s="163"/>
      <c r="T39" s="225" t="s">
        <v>192</v>
      </c>
    </row>
    <row r="40" spans="1:20" ht="64.5" thickBot="1" x14ac:dyDescent="0.3">
      <c r="A40" s="179" t="e">
        <f t="shared" si="0"/>
        <v>#VALUE!</v>
      </c>
      <c r="B40" s="53"/>
      <c r="C40" s="181">
        <v>29</v>
      </c>
      <c r="D40" s="138" t="s">
        <v>134</v>
      </c>
      <c r="E40" s="223" t="s">
        <v>194</v>
      </c>
      <c r="F40" s="170" t="s">
        <v>195</v>
      </c>
      <c r="G40" s="183" t="s">
        <v>111</v>
      </c>
      <c r="H40" s="184" t="s">
        <v>65</v>
      </c>
      <c r="I40" s="185" t="s">
        <v>81</v>
      </c>
      <c r="J40" s="186" t="s">
        <v>131</v>
      </c>
      <c r="K40" s="226" t="s">
        <v>80</v>
      </c>
      <c r="L40" s="229">
        <f t="shared" si="4"/>
        <v>28</v>
      </c>
      <c r="M40" s="229">
        <f t="shared" si="5"/>
        <v>8</v>
      </c>
      <c r="N40" s="229">
        <f t="shared" si="6"/>
        <v>36</v>
      </c>
      <c r="O40" s="227"/>
      <c r="P40" s="221"/>
      <c r="Q40" s="212"/>
      <c r="R40" s="211"/>
      <c r="S40" s="163"/>
      <c r="T40" s="192"/>
    </row>
    <row r="41" spans="1:20" ht="51.75" thickBot="1" x14ac:dyDescent="0.3">
      <c r="A41" s="179" t="e">
        <f t="shared" si="0"/>
        <v>#VALUE!</v>
      </c>
      <c r="B41" s="53"/>
      <c r="C41" s="181">
        <v>30</v>
      </c>
      <c r="D41" s="138" t="s">
        <v>60</v>
      </c>
      <c r="E41" s="223" t="s">
        <v>196</v>
      </c>
      <c r="F41" s="170"/>
      <c r="G41" s="183"/>
      <c r="H41" s="184"/>
      <c r="I41" s="185"/>
      <c r="J41" s="186"/>
      <c r="K41" s="226"/>
      <c r="L41" s="229" t="e">
        <f t="shared" si="4"/>
        <v>#VALUE!</v>
      </c>
      <c r="M41" s="229" t="e">
        <f t="shared" si="5"/>
        <v>#VALUE!</v>
      </c>
      <c r="N41" s="229" t="e">
        <f t="shared" si="6"/>
        <v>#VALUE!</v>
      </c>
      <c r="O41" s="227"/>
      <c r="P41" s="221"/>
      <c r="Q41" s="212"/>
      <c r="R41" s="211"/>
      <c r="S41" s="163"/>
      <c r="T41" s="192"/>
    </row>
    <row r="42" spans="1:20" ht="15.75" thickBot="1" x14ac:dyDescent="0.3">
      <c r="A42" s="179" t="e">
        <f t="shared" si="0"/>
        <v>#VALUE!</v>
      </c>
      <c r="B42" s="53"/>
      <c r="C42" s="181">
        <v>31</v>
      </c>
      <c r="D42" s="138" t="s">
        <v>137</v>
      </c>
      <c r="E42" s="182"/>
      <c r="F42" s="167"/>
      <c r="G42" s="183"/>
      <c r="H42" s="184"/>
      <c r="I42" s="185"/>
      <c r="J42" s="186"/>
      <c r="K42" s="226"/>
      <c r="L42" s="229" t="e">
        <f t="shared" si="4"/>
        <v>#VALUE!</v>
      </c>
      <c r="M42" s="229" t="e">
        <f t="shared" si="5"/>
        <v>#VALUE!</v>
      </c>
      <c r="N42" s="229" t="e">
        <f t="shared" si="6"/>
        <v>#VALUE!</v>
      </c>
      <c r="O42" s="227"/>
      <c r="P42" s="221"/>
      <c r="Q42" s="212"/>
      <c r="R42" s="211"/>
      <c r="S42" s="163"/>
      <c r="T42" s="192"/>
    </row>
    <row r="43" spans="1:20" ht="15.75" thickBot="1" x14ac:dyDescent="0.3">
      <c r="A43" s="179" t="e">
        <f t="shared" si="0"/>
        <v>#VALUE!</v>
      </c>
      <c r="B43" s="53"/>
      <c r="C43" s="181">
        <v>32</v>
      </c>
      <c r="D43" s="138" t="s">
        <v>137</v>
      </c>
      <c r="E43" s="182"/>
      <c r="F43" s="167"/>
      <c r="G43" s="183"/>
      <c r="H43" s="184"/>
      <c r="I43" s="185"/>
      <c r="J43" s="186"/>
      <c r="K43" s="226"/>
      <c r="L43" s="229" t="e">
        <f t="shared" si="4"/>
        <v>#VALUE!</v>
      </c>
      <c r="M43" s="229" t="e">
        <f t="shared" si="5"/>
        <v>#VALUE!</v>
      </c>
      <c r="N43" s="229" t="e">
        <f t="shared" si="6"/>
        <v>#VALUE!</v>
      </c>
      <c r="O43" s="227"/>
      <c r="P43" s="221"/>
      <c r="Q43" s="212"/>
      <c r="R43" s="211"/>
      <c r="S43" s="163"/>
      <c r="T43" s="192"/>
    </row>
    <row r="44" spans="1:20" ht="15.75" thickBot="1" x14ac:dyDescent="0.3">
      <c r="A44" s="179" t="e">
        <f t="shared" ref="A44:A75" si="7">RANK(N44,N44:N92,0)</f>
        <v>#VALUE!</v>
      </c>
      <c r="B44" s="53"/>
      <c r="C44" s="181">
        <v>33</v>
      </c>
      <c r="D44" s="138" t="s">
        <v>137</v>
      </c>
      <c r="E44" s="182"/>
      <c r="F44" s="167"/>
      <c r="G44" s="183"/>
      <c r="H44" s="184"/>
      <c r="I44" s="185"/>
      <c r="J44" s="186"/>
      <c r="K44" s="226"/>
      <c r="L44" s="229" t="e">
        <f t="shared" si="4"/>
        <v>#VALUE!</v>
      </c>
      <c r="M44" s="229" t="e">
        <f t="shared" si="5"/>
        <v>#VALUE!</v>
      </c>
      <c r="N44" s="229" t="e">
        <f t="shared" si="6"/>
        <v>#VALUE!</v>
      </c>
      <c r="O44" s="227"/>
      <c r="P44" s="221"/>
      <c r="Q44" s="212"/>
      <c r="R44" s="211"/>
      <c r="S44" s="163"/>
      <c r="T44" s="192"/>
    </row>
    <row r="45" spans="1:20" ht="15.75" thickBot="1" x14ac:dyDescent="0.3">
      <c r="A45" s="179" t="e">
        <f t="shared" si="7"/>
        <v>#VALUE!</v>
      </c>
      <c r="B45" s="53"/>
      <c r="C45" s="181">
        <v>34</v>
      </c>
      <c r="D45" s="138" t="s">
        <v>137</v>
      </c>
      <c r="E45" s="182"/>
      <c r="F45" s="167"/>
      <c r="G45" s="183"/>
      <c r="H45" s="184"/>
      <c r="I45" s="185"/>
      <c r="J45" s="186"/>
      <c r="K45" s="226"/>
      <c r="L45" s="229" t="e">
        <f t="shared" si="4"/>
        <v>#VALUE!</v>
      </c>
      <c r="M45" s="229" t="e">
        <f t="shared" si="5"/>
        <v>#VALUE!</v>
      </c>
      <c r="N45" s="229" t="e">
        <f t="shared" si="6"/>
        <v>#VALUE!</v>
      </c>
      <c r="O45" s="227"/>
      <c r="P45" s="221"/>
      <c r="Q45" s="212"/>
      <c r="R45" s="211"/>
      <c r="S45" s="163"/>
      <c r="T45" s="192"/>
    </row>
    <row r="46" spans="1:20" ht="15.75" thickBot="1" x14ac:dyDescent="0.3">
      <c r="A46" s="179" t="e">
        <f t="shared" si="7"/>
        <v>#VALUE!</v>
      </c>
      <c r="B46" s="53"/>
      <c r="C46" s="181">
        <v>35</v>
      </c>
      <c r="D46" s="138" t="s">
        <v>137</v>
      </c>
      <c r="E46" s="182"/>
      <c r="F46" s="167"/>
      <c r="G46" s="183"/>
      <c r="H46" s="184"/>
      <c r="I46" s="185"/>
      <c r="J46" s="186"/>
      <c r="K46" s="226"/>
      <c r="L46" s="229" t="e">
        <f t="shared" si="4"/>
        <v>#VALUE!</v>
      </c>
      <c r="M46" s="229" t="e">
        <f t="shared" si="5"/>
        <v>#VALUE!</v>
      </c>
      <c r="N46" s="229" t="e">
        <f t="shared" si="6"/>
        <v>#VALUE!</v>
      </c>
      <c r="O46" s="227"/>
      <c r="P46" s="221"/>
      <c r="Q46" s="212"/>
      <c r="R46" s="211"/>
      <c r="S46" s="163"/>
      <c r="T46" s="192"/>
    </row>
    <row r="47" spans="1:20" ht="15.75" thickBot="1" x14ac:dyDescent="0.3">
      <c r="A47" s="179" t="e">
        <f t="shared" si="7"/>
        <v>#VALUE!</v>
      </c>
      <c r="B47" s="53"/>
      <c r="C47" s="181">
        <v>36</v>
      </c>
      <c r="D47" s="138" t="s">
        <v>137</v>
      </c>
      <c r="E47" s="182"/>
      <c r="F47" s="167"/>
      <c r="G47" s="183"/>
      <c r="H47" s="184"/>
      <c r="I47" s="185"/>
      <c r="J47" s="186"/>
      <c r="K47" s="226"/>
      <c r="L47" s="229" t="e">
        <f t="shared" si="4"/>
        <v>#VALUE!</v>
      </c>
      <c r="M47" s="229" t="e">
        <f t="shared" si="5"/>
        <v>#VALUE!</v>
      </c>
      <c r="N47" s="229" t="e">
        <f t="shared" si="6"/>
        <v>#VALUE!</v>
      </c>
      <c r="O47" s="227"/>
      <c r="P47" s="221"/>
      <c r="Q47" s="212"/>
      <c r="R47" s="211"/>
      <c r="S47" s="163"/>
      <c r="T47" s="192"/>
    </row>
    <row r="48" spans="1:20" ht="15.75" thickBot="1" x14ac:dyDescent="0.3">
      <c r="A48" s="179" t="e">
        <f t="shared" si="7"/>
        <v>#VALUE!</v>
      </c>
      <c r="B48" s="53"/>
      <c r="C48" s="181">
        <v>37</v>
      </c>
      <c r="D48" s="138" t="s">
        <v>137</v>
      </c>
      <c r="E48" s="182"/>
      <c r="F48" s="167"/>
      <c r="G48" s="183"/>
      <c r="H48" s="184"/>
      <c r="I48" s="185"/>
      <c r="J48" s="186"/>
      <c r="K48" s="226"/>
      <c r="L48" s="229" t="e">
        <f t="shared" si="4"/>
        <v>#VALUE!</v>
      </c>
      <c r="M48" s="229" t="e">
        <f t="shared" si="5"/>
        <v>#VALUE!</v>
      </c>
      <c r="N48" s="229" t="e">
        <f t="shared" si="6"/>
        <v>#VALUE!</v>
      </c>
      <c r="O48" s="227"/>
      <c r="P48" s="221"/>
      <c r="Q48" s="212"/>
      <c r="R48" s="211"/>
      <c r="S48" s="163"/>
      <c r="T48" s="192"/>
    </row>
    <row r="49" spans="1:20" ht="15.75" thickBot="1" x14ac:dyDescent="0.3">
      <c r="A49" s="179" t="e">
        <f t="shared" si="7"/>
        <v>#VALUE!</v>
      </c>
      <c r="B49" s="53"/>
      <c r="C49" s="181">
        <v>38</v>
      </c>
      <c r="D49" s="138" t="s">
        <v>137</v>
      </c>
      <c r="E49" s="182"/>
      <c r="F49" s="167"/>
      <c r="G49" s="183"/>
      <c r="H49" s="184"/>
      <c r="I49" s="185"/>
      <c r="J49" s="186"/>
      <c r="K49" s="226"/>
      <c r="L49" s="229" t="e">
        <f t="shared" si="4"/>
        <v>#VALUE!</v>
      </c>
      <c r="M49" s="229" t="e">
        <f t="shared" si="5"/>
        <v>#VALUE!</v>
      </c>
      <c r="N49" s="229" t="e">
        <f t="shared" si="6"/>
        <v>#VALUE!</v>
      </c>
      <c r="O49" s="227"/>
      <c r="P49" s="221"/>
      <c r="Q49" s="212"/>
      <c r="R49" s="211"/>
      <c r="S49" s="163"/>
      <c r="T49" s="192"/>
    </row>
    <row r="50" spans="1:20" ht="15.75" thickBot="1" x14ac:dyDescent="0.3">
      <c r="A50" s="179" t="e">
        <f t="shared" si="7"/>
        <v>#VALUE!</v>
      </c>
      <c r="B50" s="53"/>
      <c r="C50" s="181">
        <v>39</v>
      </c>
      <c r="D50" s="138" t="s">
        <v>137</v>
      </c>
      <c r="E50" s="182"/>
      <c r="F50" s="167"/>
      <c r="G50" s="183"/>
      <c r="H50" s="184"/>
      <c r="I50" s="185"/>
      <c r="J50" s="186"/>
      <c r="K50" s="226"/>
      <c r="L50" s="229" t="e">
        <f t="shared" si="4"/>
        <v>#VALUE!</v>
      </c>
      <c r="M50" s="229" t="e">
        <f t="shared" si="5"/>
        <v>#VALUE!</v>
      </c>
      <c r="N50" s="229" t="e">
        <f t="shared" si="6"/>
        <v>#VALUE!</v>
      </c>
      <c r="O50" s="227"/>
      <c r="P50" s="221"/>
      <c r="Q50" s="212"/>
      <c r="R50" s="211"/>
      <c r="S50" s="163"/>
      <c r="T50" s="192"/>
    </row>
    <row r="51" spans="1:20" ht="15.75" thickBot="1" x14ac:dyDescent="0.3">
      <c r="A51" s="179" t="e">
        <f t="shared" si="7"/>
        <v>#VALUE!</v>
      </c>
      <c r="B51" s="53"/>
      <c r="C51" s="181">
        <v>40</v>
      </c>
      <c r="D51" s="138" t="s">
        <v>137</v>
      </c>
      <c r="E51" s="182"/>
      <c r="F51" s="167"/>
      <c r="G51" s="183"/>
      <c r="H51" s="184"/>
      <c r="I51" s="185"/>
      <c r="J51" s="186"/>
      <c r="K51" s="226"/>
      <c r="L51" s="229" t="e">
        <f t="shared" si="4"/>
        <v>#VALUE!</v>
      </c>
      <c r="M51" s="229" t="e">
        <f t="shared" si="5"/>
        <v>#VALUE!</v>
      </c>
      <c r="N51" s="229" t="e">
        <f t="shared" si="6"/>
        <v>#VALUE!</v>
      </c>
      <c r="O51" s="227"/>
      <c r="P51" s="221"/>
      <c r="Q51" s="212"/>
      <c r="R51" s="211"/>
      <c r="S51" s="163"/>
      <c r="T51" s="192"/>
    </row>
    <row r="52" spans="1:20" ht="15.75" thickBot="1" x14ac:dyDescent="0.3">
      <c r="A52" s="179" t="e">
        <f t="shared" si="7"/>
        <v>#VALUE!</v>
      </c>
      <c r="B52" s="53"/>
      <c r="C52" s="181">
        <v>41</v>
      </c>
      <c r="D52" s="138" t="s">
        <v>137</v>
      </c>
      <c r="E52" s="182"/>
      <c r="F52" s="167"/>
      <c r="G52" s="183"/>
      <c r="H52" s="184"/>
      <c r="I52" s="185"/>
      <c r="J52" s="186"/>
      <c r="K52" s="226"/>
      <c r="L52" s="229" t="e">
        <f t="shared" si="4"/>
        <v>#VALUE!</v>
      </c>
      <c r="M52" s="229" t="e">
        <f t="shared" si="5"/>
        <v>#VALUE!</v>
      </c>
      <c r="N52" s="229" t="e">
        <f t="shared" si="6"/>
        <v>#VALUE!</v>
      </c>
      <c r="O52" s="227"/>
      <c r="P52" s="221"/>
      <c r="Q52" s="212"/>
      <c r="R52" s="211"/>
      <c r="S52" s="163"/>
      <c r="T52" s="192"/>
    </row>
    <row r="53" spans="1:20" ht="15.75" thickBot="1" x14ac:dyDescent="0.3">
      <c r="A53" s="179" t="e">
        <f t="shared" si="7"/>
        <v>#VALUE!</v>
      </c>
      <c r="B53" s="53"/>
      <c r="C53" s="181">
        <v>42</v>
      </c>
      <c r="D53" s="138" t="s">
        <v>137</v>
      </c>
      <c r="E53" s="182"/>
      <c r="F53" s="167"/>
      <c r="G53" s="183"/>
      <c r="H53" s="184"/>
      <c r="I53" s="185"/>
      <c r="J53" s="186"/>
      <c r="K53" s="226"/>
      <c r="L53" s="229" t="e">
        <f t="shared" si="4"/>
        <v>#VALUE!</v>
      </c>
      <c r="M53" s="229" t="e">
        <f t="shared" si="5"/>
        <v>#VALUE!</v>
      </c>
      <c r="N53" s="229" t="e">
        <f t="shared" si="6"/>
        <v>#VALUE!</v>
      </c>
      <c r="O53" s="227"/>
      <c r="P53" s="221"/>
      <c r="Q53" s="212"/>
      <c r="R53" s="211"/>
      <c r="S53" s="163"/>
      <c r="T53" s="192"/>
    </row>
    <row r="54" spans="1:20" ht="15.75" thickBot="1" x14ac:dyDescent="0.3">
      <c r="A54" s="179" t="e">
        <f t="shared" si="7"/>
        <v>#VALUE!</v>
      </c>
      <c r="B54" s="53"/>
      <c r="C54" s="181">
        <v>43</v>
      </c>
      <c r="D54" s="138" t="s">
        <v>137</v>
      </c>
      <c r="E54" s="182"/>
      <c r="F54" s="167"/>
      <c r="G54" s="183"/>
      <c r="H54" s="184"/>
      <c r="I54" s="185"/>
      <c r="J54" s="186"/>
      <c r="K54" s="226"/>
      <c r="L54" s="229" t="e">
        <f t="shared" si="4"/>
        <v>#VALUE!</v>
      </c>
      <c r="M54" s="229" t="e">
        <f t="shared" si="5"/>
        <v>#VALUE!</v>
      </c>
      <c r="N54" s="229" t="e">
        <f t="shared" si="6"/>
        <v>#VALUE!</v>
      </c>
      <c r="O54" s="227"/>
      <c r="P54" s="221"/>
      <c r="Q54" s="212"/>
      <c r="R54" s="211"/>
      <c r="S54" s="163"/>
      <c r="T54" s="192"/>
    </row>
    <row r="55" spans="1:20" ht="15.75" thickBot="1" x14ac:dyDescent="0.3">
      <c r="A55" s="179" t="e">
        <f t="shared" si="7"/>
        <v>#VALUE!</v>
      </c>
      <c r="B55" s="53"/>
      <c r="C55" s="181">
        <v>44</v>
      </c>
      <c r="D55" s="138" t="s">
        <v>137</v>
      </c>
      <c r="E55" s="182"/>
      <c r="F55" s="167"/>
      <c r="G55" s="183"/>
      <c r="H55" s="184"/>
      <c r="I55" s="185"/>
      <c r="J55" s="186"/>
      <c r="K55" s="226"/>
      <c r="L55" s="229" t="e">
        <f t="shared" si="4"/>
        <v>#VALUE!</v>
      </c>
      <c r="M55" s="229" t="e">
        <f t="shared" si="5"/>
        <v>#VALUE!</v>
      </c>
      <c r="N55" s="229" t="e">
        <f t="shared" si="6"/>
        <v>#VALUE!</v>
      </c>
      <c r="O55" s="227"/>
      <c r="P55" s="221"/>
      <c r="Q55" s="212"/>
      <c r="R55" s="211"/>
      <c r="S55" s="163"/>
      <c r="T55" s="192"/>
    </row>
    <row r="56" spans="1:20" ht="15.75" thickBot="1" x14ac:dyDescent="0.3">
      <c r="A56" s="179" t="e">
        <f t="shared" si="7"/>
        <v>#VALUE!</v>
      </c>
      <c r="B56" s="53"/>
      <c r="C56" s="181">
        <v>45</v>
      </c>
      <c r="D56" s="138" t="s">
        <v>137</v>
      </c>
      <c r="E56" s="182"/>
      <c r="F56" s="167"/>
      <c r="G56" s="183"/>
      <c r="H56" s="184"/>
      <c r="I56" s="185"/>
      <c r="J56" s="186"/>
      <c r="K56" s="226"/>
      <c r="L56" s="229" t="e">
        <f t="shared" si="4"/>
        <v>#VALUE!</v>
      </c>
      <c r="M56" s="229" t="e">
        <f t="shared" si="5"/>
        <v>#VALUE!</v>
      </c>
      <c r="N56" s="229" t="e">
        <f t="shared" si="6"/>
        <v>#VALUE!</v>
      </c>
      <c r="O56" s="227"/>
      <c r="P56" s="221"/>
      <c r="Q56" s="212"/>
      <c r="R56" s="211"/>
      <c r="S56" s="163"/>
      <c r="T56" s="192"/>
    </row>
    <row r="57" spans="1:20" ht="15.75" thickBot="1" x14ac:dyDescent="0.3">
      <c r="A57" s="179" t="e">
        <f t="shared" si="7"/>
        <v>#VALUE!</v>
      </c>
      <c r="B57" s="53"/>
      <c r="C57" s="181">
        <v>46</v>
      </c>
      <c r="D57" s="138" t="s">
        <v>137</v>
      </c>
      <c r="E57" s="182"/>
      <c r="F57" s="167"/>
      <c r="G57" s="183"/>
      <c r="H57" s="184"/>
      <c r="I57" s="185"/>
      <c r="J57" s="186"/>
      <c r="K57" s="226"/>
      <c r="L57" s="229" t="e">
        <f t="shared" si="4"/>
        <v>#VALUE!</v>
      </c>
      <c r="M57" s="229" t="e">
        <f t="shared" si="5"/>
        <v>#VALUE!</v>
      </c>
      <c r="N57" s="229" t="e">
        <f t="shared" si="6"/>
        <v>#VALUE!</v>
      </c>
      <c r="O57" s="227"/>
      <c r="P57" s="221"/>
      <c r="Q57" s="212"/>
      <c r="R57" s="211"/>
      <c r="S57" s="163"/>
      <c r="T57" s="192"/>
    </row>
    <row r="58" spans="1:20" ht="15.75" thickBot="1" x14ac:dyDescent="0.3">
      <c r="A58" s="179" t="e">
        <f t="shared" si="7"/>
        <v>#VALUE!</v>
      </c>
      <c r="B58" s="53"/>
      <c r="C58" s="181">
        <v>47</v>
      </c>
      <c r="D58" s="138" t="s">
        <v>137</v>
      </c>
      <c r="E58" s="182"/>
      <c r="F58" s="167"/>
      <c r="G58" s="183"/>
      <c r="H58" s="184"/>
      <c r="I58" s="185"/>
      <c r="J58" s="186"/>
      <c r="K58" s="226"/>
      <c r="L58" s="229" t="e">
        <f t="shared" si="4"/>
        <v>#VALUE!</v>
      </c>
      <c r="M58" s="229" t="e">
        <f t="shared" si="5"/>
        <v>#VALUE!</v>
      </c>
      <c r="N58" s="229" t="e">
        <f t="shared" si="6"/>
        <v>#VALUE!</v>
      </c>
      <c r="O58" s="227"/>
      <c r="P58" s="221"/>
      <c r="Q58" s="212"/>
      <c r="R58" s="211"/>
      <c r="S58" s="163"/>
      <c r="T58" s="192"/>
    </row>
    <row r="59" spans="1:20" ht="15.75" thickBot="1" x14ac:dyDescent="0.3">
      <c r="A59" s="179" t="e">
        <f t="shared" si="7"/>
        <v>#VALUE!</v>
      </c>
      <c r="B59" s="53"/>
      <c r="C59" s="181">
        <v>48</v>
      </c>
      <c r="D59" s="138" t="s">
        <v>137</v>
      </c>
      <c r="E59" s="182"/>
      <c r="F59" s="167"/>
      <c r="G59" s="183"/>
      <c r="H59" s="184"/>
      <c r="I59" s="185"/>
      <c r="J59" s="186"/>
      <c r="K59" s="226"/>
      <c r="L59" s="229" t="e">
        <f t="shared" si="4"/>
        <v>#VALUE!</v>
      </c>
      <c r="M59" s="229" t="e">
        <f t="shared" si="5"/>
        <v>#VALUE!</v>
      </c>
      <c r="N59" s="229" t="e">
        <f t="shared" si="6"/>
        <v>#VALUE!</v>
      </c>
      <c r="O59" s="227"/>
      <c r="P59" s="221"/>
      <c r="Q59" s="212"/>
      <c r="R59" s="211"/>
      <c r="S59" s="163"/>
      <c r="T59" s="192"/>
    </row>
    <row r="60" spans="1:20" ht="15.75" thickBot="1" x14ac:dyDescent="0.3">
      <c r="A60" s="179" t="e">
        <f t="shared" si="7"/>
        <v>#VALUE!</v>
      </c>
      <c r="B60" s="53"/>
      <c r="C60" s="181">
        <v>49</v>
      </c>
      <c r="D60" s="138" t="s">
        <v>137</v>
      </c>
      <c r="E60" s="182"/>
      <c r="F60" s="167"/>
      <c r="G60" s="183"/>
      <c r="H60" s="184"/>
      <c r="I60" s="185"/>
      <c r="J60" s="186"/>
      <c r="K60" s="226"/>
      <c r="L60" s="229" t="e">
        <f t="shared" si="4"/>
        <v>#VALUE!</v>
      </c>
      <c r="M60" s="229" t="e">
        <f t="shared" si="5"/>
        <v>#VALUE!</v>
      </c>
      <c r="N60" s="229" t="e">
        <f t="shared" si="6"/>
        <v>#VALUE!</v>
      </c>
      <c r="O60" s="227"/>
      <c r="P60" s="221"/>
      <c r="Q60" s="212"/>
      <c r="R60" s="211"/>
      <c r="S60" s="163"/>
      <c r="T60" s="192"/>
    </row>
    <row r="61" spans="1:20" ht="15.75" thickBot="1" x14ac:dyDescent="0.3">
      <c r="A61" s="179" t="e">
        <f t="shared" si="7"/>
        <v>#VALUE!</v>
      </c>
      <c r="B61" s="53"/>
      <c r="C61" s="181">
        <v>50</v>
      </c>
      <c r="D61" s="138" t="s">
        <v>137</v>
      </c>
      <c r="E61" s="182"/>
      <c r="F61" s="167"/>
      <c r="G61" s="183"/>
      <c r="H61" s="184"/>
      <c r="I61" s="185"/>
      <c r="J61" s="186"/>
      <c r="K61" s="226"/>
      <c r="L61" s="229" t="e">
        <f t="shared" si="4"/>
        <v>#VALUE!</v>
      </c>
      <c r="M61" s="229" t="e">
        <f t="shared" si="5"/>
        <v>#VALUE!</v>
      </c>
      <c r="N61" s="229" t="e">
        <f t="shared" si="6"/>
        <v>#VALUE!</v>
      </c>
      <c r="O61" s="227"/>
      <c r="P61" s="221"/>
      <c r="Q61" s="212"/>
      <c r="R61" s="211"/>
      <c r="S61" s="163"/>
      <c r="T61" s="192"/>
    </row>
    <row r="62" spans="1:20" ht="15.75" thickBot="1" x14ac:dyDescent="0.3">
      <c r="A62" s="179" t="e">
        <f t="shared" si="7"/>
        <v>#VALUE!</v>
      </c>
      <c r="B62" s="53"/>
      <c r="C62" s="181">
        <v>51</v>
      </c>
      <c r="D62" s="138" t="s">
        <v>137</v>
      </c>
      <c r="E62" s="182"/>
      <c r="F62" s="167"/>
      <c r="G62" s="183"/>
      <c r="H62" s="184"/>
      <c r="I62" s="185"/>
      <c r="J62" s="186"/>
      <c r="K62" s="226"/>
      <c r="L62" s="229" t="e">
        <f t="shared" si="4"/>
        <v>#VALUE!</v>
      </c>
      <c r="M62" s="229" t="e">
        <f t="shared" si="5"/>
        <v>#VALUE!</v>
      </c>
      <c r="N62" s="229" t="e">
        <f t="shared" si="6"/>
        <v>#VALUE!</v>
      </c>
      <c r="O62" s="227"/>
      <c r="P62" s="221"/>
      <c r="Q62" s="212"/>
      <c r="R62" s="211"/>
      <c r="S62" s="163"/>
      <c r="T62" s="192"/>
    </row>
    <row r="63" spans="1:20" ht="15.75" thickBot="1" x14ac:dyDescent="0.3">
      <c r="A63" s="179" t="e">
        <f t="shared" si="7"/>
        <v>#VALUE!</v>
      </c>
      <c r="B63" s="53"/>
      <c r="C63" s="181">
        <v>52</v>
      </c>
      <c r="D63" s="138" t="s">
        <v>137</v>
      </c>
      <c r="E63" s="182"/>
      <c r="F63" s="167"/>
      <c r="G63" s="183"/>
      <c r="H63" s="184"/>
      <c r="I63" s="185"/>
      <c r="J63" s="186"/>
      <c r="K63" s="226"/>
      <c r="L63" s="229" t="e">
        <f t="shared" si="4"/>
        <v>#VALUE!</v>
      </c>
      <c r="M63" s="229" t="e">
        <f t="shared" si="5"/>
        <v>#VALUE!</v>
      </c>
      <c r="N63" s="229" t="e">
        <f t="shared" si="6"/>
        <v>#VALUE!</v>
      </c>
      <c r="O63" s="227"/>
      <c r="P63" s="221"/>
      <c r="Q63" s="212"/>
      <c r="R63" s="211"/>
      <c r="S63" s="163"/>
      <c r="T63" s="192"/>
    </row>
    <row r="64" spans="1:20" ht="15.75" thickBot="1" x14ac:dyDescent="0.3">
      <c r="A64" s="179" t="e">
        <f t="shared" si="7"/>
        <v>#VALUE!</v>
      </c>
      <c r="B64" s="53"/>
      <c r="C64" s="181">
        <v>53</v>
      </c>
      <c r="D64" s="138" t="s">
        <v>137</v>
      </c>
      <c r="E64" s="182"/>
      <c r="F64" s="167"/>
      <c r="G64" s="183"/>
      <c r="H64" s="184"/>
      <c r="I64" s="185"/>
      <c r="J64" s="186"/>
      <c r="K64" s="226"/>
      <c r="L64" s="229" t="e">
        <f t="shared" si="4"/>
        <v>#VALUE!</v>
      </c>
      <c r="M64" s="229" t="e">
        <f t="shared" si="5"/>
        <v>#VALUE!</v>
      </c>
      <c r="N64" s="229" t="e">
        <f t="shared" si="6"/>
        <v>#VALUE!</v>
      </c>
      <c r="O64" s="227"/>
      <c r="P64" s="221"/>
      <c r="Q64" s="212"/>
      <c r="R64" s="211"/>
      <c r="S64" s="163"/>
      <c r="T64" s="192"/>
    </row>
    <row r="65" spans="1:20" ht="15.75" thickBot="1" x14ac:dyDescent="0.3">
      <c r="A65" s="179" t="e">
        <f t="shared" si="7"/>
        <v>#VALUE!</v>
      </c>
      <c r="B65" s="53"/>
      <c r="C65" s="181">
        <v>54</v>
      </c>
      <c r="D65" s="138" t="s">
        <v>137</v>
      </c>
      <c r="E65" s="182"/>
      <c r="F65" s="167"/>
      <c r="G65" s="183"/>
      <c r="H65" s="184"/>
      <c r="I65" s="185"/>
      <c r="J65" s="186"/>
      <c r="K65" s="226"/>
      <c r="L65" s="229" t="e">
        <f t="shared" ref="L65:L96" si="8">LEFT($J65,2)*LEFT($I65,2)</f>
        <v>#VALUE!</v>
      </c>
      <c r="M65" s="229" t="e">
        <f t="shared" ref="M65:M96" si="9">LEFT($K65,2)*LEFT($I65,2)</f>
        <v>#VALUE!</v>
      </c>
      <c r="N65" s="229" t="e">
        <f t="shared" ref="N65:N96" si="10">L65+M65</f>
        <v>#VALUE!</v>
      </c>
      <c r="O65" s="227"/>
      <c r="P65" s="221"/>
      <c r="Q65" s="212"/>
      <c r="R65" s="211"/>
      <c r="S65" s="163"/>
      <c r="T65" s="192"/>
    </row>
    <row r="66" spans="1:20" ht="15.75" thickBot="1" x14ac:dyDescent="0.3">
      <c r="A66" s="179" t="e">
        <f t="shared" si="7"/>
        <v>#VALUE!</v>
      </c>
      <c r="B66" s="53"/>
      <c r="C66" s="181">
        <v>55</v>
      </c>
      <c r="D66" s="138" t="s">
        <v>137</v>
      </c>
      <c r="E66" s="182"/>
      <c r="F66" s="167"/>
      <c r="G66" s="183"/>
      <c r="H66" s="184"/>
      <c r="I66" s="185"/>
      <c r="J66" s="186"/>
      <c r="K66" s="226"/>
      <c r="L66" s="229" t="e">
        <f t="shared" si="8"/>
        <v>#VALUE!</v>
      </c>
      <c r="M66" s="229" t="e">
        <f t="shared" si="9"/>
        <v>#VALUE!</v>
      </c>
      <c r="N66" s="229" t="e">
        <f t="shared" si="10"/>
        <v>#VALUE!</v>
      </c>
      <c r="O66" s="227"/>
      <c r="P66" s="221"/>
      <c r="Q66" s="212"/>
      <c r="R66" s="211"/>
      <c r="S66" s="163"/>
      <c r="T66" s="192"/>
    </row>
    <row r="67" spans="1:20" ht="15.75" thickBot="1" x14ac:dyDescent="0.3">
      <c r="A67" s="179" t="e">
        <f t="shared" si="7"/>
        <v>#VALUE!</v>
      </c>
      <c r="B67" s="53"/>
      <c r="C67" s="181">
        <v>56</v>
      </c>
      <c r="D67" s="138" t="s">
        <v>137</v>
      </c>
      <c r="E67" s="182"/>
      <c r="F67" s="167"/>
      <c r="G67" s="183"/>
      <c r="H67" s="184"/>
      <c r="I67" s="185"/>
      <c r="J67" s="186"/>
      <c r="K67" s="226"/>
      <c r="L67" s="229" t="e">
        <f t="shared" si="8"/>
        <v>#VALUE!</v>
      </c>
      <c r="M67" s="229" t="e">
        <f t="shared" si="9"/>
        <v>#VALUE!</v>
      </c>
      <c r="N67" s="229" t="e">
        <f t="shared" si="10"/>
        <v>#VALUE!</v>
      </c>
      <c r="O67" s="227"/>
      <c r="P67" s="221"/>
      <c r="Q67" s="212"/>
      <c r="R67" s="211"/>
      <c r="S67" s="163"/>
      <c r="T67" s="192"/>
    </row>
    <row r="68" spans="1:20" ht="15.75" thickBot="1" x14ac:dyDescent="0.3">
      <c r="A68" s="179" t="e">
        <f t="shared" si="7"/>
        <v>#VALUE!</v>
      </c>
      <c r="B68" s="53"/>
      <c r="C68" s="181">
        <v>57</v>
      </c>
      <c r="D68" s="138" t="s">
        <v>137</v>
      </c>
      <c r="E68" s="182"/>
      <c r="F68" s="167"/>
      <c r="G68" s="183"/>
      <c r="H68" s="184"/>
      <c r="I68" s="185"/>
      <c r="J68" s="186"/>
      <c r="K68" s="226"/>
      <c r="L68" s="229" t="e">
        <f t="shared" si="8"/>
        <v>#VALUE!</v>
      </c>
      <c r="M68" s="229" t="e">
        <f t="shared" si="9"/>
        <v>#VALUE!</v>
      </c>
      <c r="N68" s="229" t="e">
        <f t="shared" si="10"/>
        <v>#VALUE!</v>
      </c>
      <c r="O68" s="227"/>
      <c r="P68" s="221"/>
      <c r="Q68" s="212"/>
      <c r="R68" s="211"/>
      <c r="S68" s="163"/>
      <c r="T68" s="192"/>
    </row>
    <row r="69" spans="1:20" ht="15.75" thickBot="1" x14ac:dyDescent="0.3">
      <c r="A69" s="179" t="e">
        <f t="shared" si="7"/>
        <v>#VALUE!</v>
      </c>
      <c r="B69" s="53"/>
      <c r="C69" s="181">
        <v>58</v>
      </c>
      <c r="D69" s="138" t="s">
        <v>137</v>
      </c>
      <c r="E69" s="182"/>
      <c r="F69" s="167"/>
      <c r="G69" s="183"/>
      <c r="H69" s="184"/>
      <c r="I69" s="185"/>
      <c r="J69" s="186"/>
      <c r="K69" s="226"/>
      <c r="L69" s="229" t="e">
        <f t="shared" si="8"/>
        <v>#VALUE!</v>
      </c>
      <c r="M69" s="229" t="e">
        <f t="shared" si="9"/>
        <v>#VALUE!</v>
      </c>
      <c r="N69" s="229" t="e">
        <f t="shared" si="10"/>
        <v>#VALUE!</v>
      </c>
      <c r="O69" s="227"/>
      <c r="P69" s="221"/>
      <c r="Q69" s="212"/>
      <c r="R69" s="211"/>
      <c r="S69" s="163"/>
      <c r="T69" s="192"/>
    </row>
    <row r="70" spans="1:20" ht="15.75" thickBot="1" x14ac:dyDescent="0.3">
      <c r="A70" s="179" t="e">
        <f t="shared" si="7"/>
        <v>#VALUE!</v>
      </c>
      <c r="B70" s="53"/>
      <c r="C70" s="181">
        <v>59</v>
      </c>
      <c r="D70" s="138" t="s">
        <v>137</v>
      </c>
      <c r="E70" s="182"/>
      <c r="F70" s="167"/>
      <c r="G70" s="183"/>
      <c r="H70" s="184"/>
      <c r="I70" s="185"/>
      <c r="J70" s="186"/>
      <c r="K70" s="226"/>
      <c r="L70" s="229" t="e">
        <f t="shared" si="8"/>
        <v>#VALUE!</v>
      </c>
      <c r="M70" s="229" t="e">
        <f t="shared" si="9"/>
        <v>#VALUE!</v>
      </c>
      <c r="N70" s="229" t="e">
        <f t="shared" si="10"/>
        <v>#VALUE!</v>
      </c>
      <c r="O70" s="227"/>
      <c r="P70" s="221"/>
      <c r="Q70" s="212"/>
      <c r="R70" s="211"/>
      <c r="S70" s="163"/>
      <c r="T70" s="192"/>
    </row>
    <row r="71" spans="1:20" ht="15.75" thickBot="1" x14ac:dyDescent="0.3">
      <c r="A71" s="179" t="e">
        <f t="shared" si="7"/>
        <v>#VALUE!</v>
      </c>
      <c r="B71" s="53"/>
      <c r="C71" s="181">
        <v>60</v>
      </c>
      <c r="D71" s="138" t="s">
        <v>137</v>
      </c>
      <c r="E71" s="182"/>
      <c r="F71" s="167"/>
      <c r="G71" s="183"/>
      <c r="H71" s="184"/>
      <c r="I71" s="185"/>
      <c r="J71" s="186"/>
      <c r="K71" s="226"/>
      <c r="L71" s="229" t="e">
        <f t="shared" si="8"/>
        <v>#VALUE!</v>
      </c>
      <c r="M71" s="229" t="e">
        <f t="shared" si="9"/>
        <v>#VALUE!</v>
      </c>
      <c r="N71" s="229" t="e">
        <f t="shared" si="10"/>
        <v>#VALUE!</v>
      </c>
      <c r="O71" s="227"/>
      <c r="P71" s="221"/>
      <c r="Q71" s="212"/>
      <c r="R71" s="211"/>
      <c r="S71" s="163"/>
      <c r="T71" s="192"/>
    </row>
    <row r="72" spans="1:20" ht="15.75" thickBot="1" x14ac:dyDescent="0.3">
      <c r="A72" s="179" t="e">
        <f t="shared" si="7"/>
        <v>#VALUE!</v>
      </c>
      <c r="B72" s="53"/>
      <c r="C72" s="181">
        <v>61</v>
      </c>
      <c r="D72" s="138" t="s">
        <v>137</v>
      </c>
      <c r="E72" s="182"/>
      <c r="F72" s="167"/>
      <c r="G72" s="183"/>
      <c r="H72" s="184"/>
      <c r="I72" s="185"/>
      <c r="J72" s="186"/>
      <c r="K72" s="226"/>
      <c r="L72" s="229" t="e">
        <f t="shared" si="8"/>
        <v>#VALUE!</v>
      </c>
      <c r="M72" s="229" t="e">
        <f t="shared" si="9"/>
        <v>#VALUE!</v>
      </c>
      <c r="N72" s="229" t="e">
        <f t="shared" si="10"/>
        <v>#VALUE!</v>
      </c>
      <c r="O72" s="227"/>
      <c r="P72" s="221"/>
      <c r="Q72" s="212"/>
      <c r="R72" s="211"/>
      <c r="S72" s="163"/>
      <c r="T72" s="192"/>
    </row>
    <row r="73" spans="1:20" ht="15.75" thickBot="1" x14ac:dyDescent="0.3">
      <c r="A73" s="179" t="e">
        <f t="shared" si="7"/>
        <v>#VALUE!</v>
      </c>
      <c r="B73" s="53"/>
      <c r="C73" s="181">
        <v>62</v>
      </c>
      <c r="D73" s="138" t="s">
        <v>137</v>
      </c>
      <c r="E73" s="182"/>
      <c r="F73" s="167"/>
      <c r="G73" s="183"/>
      <c r="H73" s="184"/>
      <c r="I73" s="185"/>
      <c r="J73" s="186"/>
      <c r="K73" s="226"/>
      <c r="L73" s="229" t="e">
        <f t="shared" si="8"/>
        <v>#VALUE!</v>
      </c>
      <c r="M73" s="229" t="e">
        <f t="shared" si="9"/>
        <v>#VALUE!</v>
      </c>
      <c r="N73" s="229" t="e">
        <f t="shared" si="10"/>
        <v>#VALUE!</v>
      </c>
      <c r="O73" s="227"/>
      <c r="P73" s="221"/>
      <c r="Q73" s="212"/>
      <c r="R73" s="211"/>
      <c r="S73" s="163"/>
      <c r="T73" s="192"/>
    </row>
    <row r="74" spans="1:20" ht="15.75" thickBot="1" x14ac:dyDescent="0.3">
      <c r="A74" s="179" t="e">
        <f t="shared" si="7"/>
        <v>#VALUE!</v>
      </c>
      <c r="B74" s="53"/>
      <c r="C74" s="181">
        <v>63</v>
      </c>
      <c r="D74" s="138" t="s">
        <v>137</v>
      </c>
      <c r="E74" s="182"/>
      <c r="F74" s="167"/>
      <c r="G74" s="183"/>
      <c r="H74" s="184"/>
      <c r="I74" s="185"/>
      <c r="J74" s="186"/>
      <c r="K74" s="226"/>
      <c r="L74" s="229" t="e">
        <f t="shared" si="8"/>
        <v>#VALUE!</v>
      </c>
      <c r="M74" s="229" t="e">
        <f t="shared" si="9"/>
        <v>#VALUE!</v>
      </c>
      <c r="N74" s="229" t="e">
        <f t="shared" si="10"/>
        <v>#VALUE!</v>
      </c>
      <c r="O74" s="227"/>
      <c r="P74" s="221"/>
      <c r="Q74" s="212"/>
      <c r="R74" s="211"/>
      <c r="S74" s="163"/>
      <c r="T74" s="192"/>
    </row>
    <row r="75" spans="1:20" ht="15.75" thickBot="1" x14ac:dyDescent="0.3">
      <c r="A75" s="179" t="e">
        <f t="shared" si="7"/>
        <v>#VALUE!</v>
      </c>
      <c r="B75" s="53"/>
      <c r="C75" s="181">
        <v>64</v>
      </c>
      <c r="D75" s="138" t="s">
        <v>137</v>
      </c>
      <c r="E75" s="182"/>
      <c r="F75" s="167"/>
      <c r="G75" s="183"/>
      <c r="H75" s="184"/>
      <c r="I75" s="185"/>
      <c r="J75" s="186"/>
      <c r="K75" s="226"/>
      <c r="L75" s="229" t="e">
        <f t="shared" si="8"/>
        <v>#VALUE!</v>
      </c>
      <c r="M75" s="229" t="e">
        <f t="shared" si="9"/>
        <v>#VALUE!</v>
      </c>
      <c r="N75" s="229" t="e">
        <f t="shared" si="10"/>
        <v>#VALUE!</v>
      </c>
      <c r="O75" s="227"/>
      <c r="P75" s="221"/>
      <c r="Q75" s="212"/>
      <c r="R75" s="211"/>
      <c r="S75" s="163"/>
      <c r="T75" s="192"/>
    </row>
    <row r="76" spans="1:20" ht="15.75" thickBot="1" x14ac:dyDescent="0.3">
      <c r="A76" s="179" t="e">
        <f t="shared" ref="A76:A107" si="11">RANK(N76,N76:N124,0)</f>
        <v>#VALUE!</v>
      </c>
      <c r="B76" s="53"/>
      <c r="C76" s="181">
        <v>65</v>
      </c>
      <c r="D76" s="138" t="s">
        <v>137</v>
      </c>
      <c r="E76" s="182"/>
      <c r="F76" s="167"/>
      <c r="G76" s="183"/>
      <c r="H76" s="184"/>
      <c r="I76" s="185"/>
      <c r="J76" s="186"/>
      <c r="K76" s="226"/>
      <c r="L76" s="229" t="e">
        <f t="shared" si="8"/>
        <v>#VALUE!</v>
      </c>
      <c r="M76" s="229" t="e">
        <f t="shared" si="9"/>
        <v>#VALUE!</v>
      </c>
      <c r="N76" s="229" t="e">
        <f t="shared" si="10"/>
        <v>#VALUE!</v>
      </c>
      <c r="O76" s="227"/>
      <c r="P76" s="221"/>
      <c r="Q76" s="212"/>
      <c r="R76" s="211"/>
      <c r="S76" s="163"/>
      <c r="T76" s="192"/>
    </row>
    <row r="77" spans="1:20" ht="15.75" thickBot="1" x14ac:dyDescent="0.3">
      <c r="A77" s="179" t="e">
        <f t="shared" si="11"/>
        <v>#VALUE!</v>
      </c>
      <c r="B77" s="53"/>
      <c r="C77" s="181">
        <v>66</v>
      </c>
      <c r="D77" s="138" t="s">
        <v>137</v>
      </c>
      <c r="E77" s="182"/>
      <c r="F77" s="167"/>
      <c r="G77" s="183"/>
      <c r="H77" s="184"/>
      <c r="I77" s="185"/>
      <c r="J77" s="186"/>
      <c r="K77" s="226"/>
      <c r="L77" s="229" t="e">
        <f t="shared" si="8"/>
        <v>#VALUE!</v>
      </c>
      <c r="M77" s="229" t="e">
        <f t="shared" si="9"/>
        <v>#VALUE!</v>
      </c>
      <c r="N77" s="229" t="e">
        <f t="shared" si="10"/>
        <v>#VALUE!</v>
      </c>
      <c r="O77" s="227"/>
      <c r="P77" s="221"/>
      <c r="Q77" s="212"/>
      <c r="R77" s="211"/>
      <c r="S77" s="163"/>
      <c r="T77" s="192"/>
    </row>
    <row r="78" spans="1:20" ht="15.75" thickBot="1" x14ac:dyDescent="0.3">
      <c r="A78" s="179" t="e">
        <f t="shared" si="11"/>
        <v>#VALUE!</v>
      </c>
      <c r="B78" s="53"/>
      <c r="C78" s="181">
        <v>67</v>
      </c>
      <c r="D78" s="138" t="s">
        <v>137</v>
      </c>
      <c r="E78" s="182"/>
      <c r="F78" s="167"/>
      <c r="G78" s="183"/>
      <c r="H78" s="184"/>
      <c r="I78" s="185"/>
      <c r="J78" s="186"/>
      <c r="K78" s="226"/>
      <c r="L78" s="229" t="e">
        <f t="shared" si="8"/>
        <v>#VALUE!</v>
      </c>
      <c r="M78" s="229" t="e">
        <f t="shared" si="9"/>
        <v>#VALUE!</v>
      </c>
      <c r="N78" s="229" t="e">
        <f t="shared" si="10"/>
        <v>#VALUE!</v>
      </c>
      <c r="O78" s="227"/>
      <c r="P78" s="221"/>
      <c r="Q78" s="212"/>
      <c r="R78" s="211"/>
      <c r="S78" s="163"/>
      <c r="T78" s="192"/>
    </row>
    <row r="79" spans="1:20" ht="15.75" thickBot="1" x14ac:dyDescent="0.3">
      <c r="A79" s="179" t="e">
        <f t="shared" si="11"/>
        <v>#VALUE!</v>
      </c>
      <c r="B79" s="53"/>
      <c r="C79" s="181">
        <v>68</v>
      </c>
      <c r="D79" s="138" t="s">
        <v>137</v>
      </c>
      <c r="E79" s="182"/>
      <c r="F79" s="167"/>
      <c r="G79" s="183"/>
      <c r="H79" s="184"/>
      <c r="I79" s="185"/>
      <c r="J79" s="186"/>
      <c r="K79" s="226"/>
      <c r="L79" s="229" t="e">
        <f t="shared" si="8"/>
        <v>#VALUE!</v>
      </c>
      <c r="M79" s="229" t="e">
        <f t="shared" si="9"/>
        <v>#VALUE!</v>
      </c>
      <c r="N79" s="229" t="e">
        <f t="shared" si="10"/>
        <v>#VALUE!</v>
      </c>
      <c r="O79" s="227"/>
      <c r="P79" s="221"/>
      <c r="Q79" s="212"/>
      <c r="R79" s="211"/>
      <c r="S79" s="163"/>
      <c r="T79" s="192"/>
    </row>
    <row r="80" spans="1:20" ht="15.75" thickBot="1" x14ac:dyDescent="0.3">
      <c r="A80" s="179" t="e">
        <f t="shared" si="11"/>
        <v>#VALUE!</v>
      </c>
      <c r="B80" s="53"/>
      <c r="C80" s="181">
        <v>69</v>
      </c>
      <c r="D80" s="138" t="s">
        <v>137</v>
      </c>
      <c r="E80" s="182"/>
      <c r="F80" s="167"/>
      <c r="G80" s="183"/>
      <c r="H80" s="184"/>
      <c r="I80" s="185"/>
      <c r="J80" s="186"/>
      <c r="K80" s="226"/>
      <c r="L80" s="229" t="e">
        <f t="shared" si="8"/>
        <v>#VALUE!</v>
      </c>
      <c r="M80" s="229" t="e">
        <f t="shared" si="9"/>
        <v>#VALUE!</v>
      </c>
      <c r="N80" s="229" t="e">
        <f t="shared" si="10"/>
        <v>#VALUE!</v>
      </c>
      <c r="O80" s="227"/>
      <c r="P80" s="221"/>
      <c r="Q80" s="212"/>
      <c r="R80" s="211"/>
      <c r="S80" s="163"/>
      <c r="T80" s="192"/>
    </row>
    <row r="81" spans="1:20" ht="15.75" thickBot="1" x14ac:dyDescent="0.3">
      <c r="A81" s="179" t="e">
        <f t="shared" si="11"/>
        <v>#VALUE!</v>
      </c>
      <c r="B81" s="53"/>
      <c r="C81" s="181">
        <v>70</v>
      </c>
      <c r="D81" s="138" t="s">
        <v>137</v>
      </c>
      <c r="E81" s="182"/>
      <c r="F81" s="167"/>
      <c r="G81" s="183"/>
      <c r="H81" s="184"/>
      <c r="I81" s="185"/>
      <c r="J81" s="186"/>
      <c r="K81" s="226"/>
      <c r="L81" s="229" t="e">
        <f t="shared" si="8"/>
        <v>#VALUE!</v>
      </c>
      <c r="M81" s="229" t="e">
        <f t="shared" si="9"/>
        <v>#VALUE!</v>
      </c>
      <c r="N81" s="229" t="e">
        <f t="shared" si="10"/>
        <v>#VALUE!</v>
      </c>
      <c r="O81" s="227"/>
      <c r="P81" s="221"/>
      <c r="Q81" s="212"/>
      <c r="R81" s="211"/>
      <c r="S81" s="163"/>
      <c r="T81" s="192"/>
    </row>
    <row r="82" spans="1:20" ht="15.75" thickBot="1" x14ac:dyDescent="0.3">
      <c r="A82" s="179" t="e">
        <f t="shared" si="11"/>
        <v>#VALUE!</v>
      </c>
      <c r="B82" s="53"/>
      <c r="C82" s="181">
        <v>71</v>
      </c>
      <c r="D82" s="138" t="s">
        <v>137</v>
      </c>
      <c r="E82" s="182"/>
      <c r="F82" s="167"/>
      <c r="G82" s="183"/>
      <c r="H82" s="184"/>
      <c r="I82" s="185"/>
      <c r="J82" s="186"/>
      <c r="K82" s="226"/>
      <c r="L82" s="229" t="e">
        <f t="shared" si="8"/>
        <v>#VALUE!</v>
      </c>
      <c r="M82" s="229" t="e">
        <f t="shared" si="9"/>
        <v>#VALUE!</v>
      </c>
      <c r="N82" s="229" t="e">
        <f t="shared" si="10"/>
        <v>#VALUE!</v>
      </c>
      <c r="O82" s="227"/>
      <c r="P82" s="221"/>
      <c r="Q82" s="212"/>
      <c r="R82" s="211"/>
      <c r="S82" s="163"/>
      <c r="T82" s="192"/>
    </row>
    <row r="83" spans="1:20" ht="15.75" thickBot="1" x14ac:dyDescent="0.3">
      <c r="A83" s="179" t="e">
        <f t="shared" si="11"/>
        <v>#VALUE!</v>
      </c>
      <c r="B83" s="53"/>
      <c r="C83" s="181">
        <v>72</v>
      </c>
      <c r="D83" s="138" t="s">
        <v>137</v>
      </c>
      <c r="E83" s="182"/>
      <c r="F83" s="167"/>
      <c r="G83" s="183"/>
      <c r="H83" s="184"/>
      <c r="I83" s="185"/>
      <c r="J83" s="186"/>
      <c r="K83" s="226"/>
      <c r="L83" s="229" t="e">
        <f t="shared" si="8"/>
        <v>#VALUE!</v>
      </c>
      <c r="M83" s="229" t="e">
        <f t="shared" si="9"/>
        <v>#VALUE!</v>
      </c>
      <c r="N83" s="229" t="e">
        <f t="shared" si="10"/>
        <v>#VALUE!</v>
      </c>
      <c r="O83" s="227"/>
      <c r="P83" s="221"/>
      <c r="Q83" s="212"/>
      <c r="R83" s="211"/>
      <c r="S83" s="163"/>
      <c r="T83" s="192"/>
    </row>
    <row r="84" spans="1:20" ht="15.75" thickBot="1" x14ac:dyDescent="0.3">
      <c r="A84" s="179" t="e">
        <f t="shared" si="11"/>
        <v>#VALUE!</v>
      </c>
      <c r="B84" s="53"/>
      <c r="C84" s="181">
        <v>73</v>
      </c>
      <c r="D84" s="138" t="s">
        <v>137</v>
      </c>
      <c r="E84" s="182"/>
      <c r="F84" s="167"/>
      <c r="G84" s="183"/>
      <c r="H84" s="184"/>
      <c r="I84" s="185"/>
      <c r="J84" s="186"/>
      <c r="K84" s="226"/>
      <c r="L84" s="229" t="e">
        <f t="shared" si="8"/>
        <v>#VALUE!</v>
      </c>
      <c r="M84" s="229" t="e">
        <f t="shared" si="9"/>
        <v>#VALUE!</v>
      </c>
      <c r="N84" s="229" t="e">
        <f t="shared" si="10"/>
        <v>#VALUE!</v>
      </c>
      <c r="O84" s="227"/>
      <c r="P84" s="221"/>
      <c r="Q84" s="212"/>
      <c r="R84" s="211"/>
      <c r="S84" s="163"/>
      <c r="T84" s="192"/>
    </row>
    <row r="85" spans="1:20" ht="15.75" thickBot="1" x14ac:dyDescent="0.3">
      <c r="A85" s="179" t="e">
        <f t="shared" si="11"/>
        <v>#VALUE!</v>
      </c>
      <c r="B85" s="53"/>
      <c r="C85" s="181">
        <v>74</v>
      </c>
      <c r="D85" s="138" t="s">
        <v>137</v>
      </c>
      <c r="E85" s="182"/>
      <c r="F85" s="167"/>
      <c r="G85" s="183"/>
      <c r="H85" s="184"/>
      <c r="I85" s="185"/>
      <c r="J85" s="186"/>
      <c r="K85" s="226"/>
      <c r="L85" s="229" t="e">
        <f t="shared" si="8"/>
        <v>#VALUE!</v>
      </c>
      <c r="M85" s="229" t="e">
        <f t="shared" si="9"/>
        <v>#VALUE!</v>
      </c>
      <c r="N85" s="229" t="e">
        <f t="shared" si="10"/>
        <v>#VALUE!</v>
      </c>
      <c r="O85" s="227"/>
      <c r="P85" s="221"/>
      <c r="Q85" s="212"/>
      <c r="R85" s="211"/>
      <c r="S85" s="163"/>
      <c r="T85" s="192"/>
    </row>
    <row r="86" spans="1:20" ht="15.75" thickBot="1" x14ac:dyDescent="0.3">
      <c r="A86" s="179" t="e">
        <f t="shared" si="11"/>
        <v>#VALUE!</v>
      </c>
      <c r="B86" s="53"/>
      <c r="C86" s="181">
        <v>75</v>
      </c>
      <c r="D86" s="138" t="s">
        <v>137</v>
      </c>
      <c r="E86" s="182"/>
      <c r="F86" s="167"/>
      <c r="G86" s="183"/>
      <c r="H86" s="184"/>
      <c r="I86" s="185"/>
      <c r="J86" s="186"/>
      <c r="K86" s="226"/>
      <c r="L86" s="229" t="e">
        <f t="shared" si="8"/>
        <v>#VALUE!</v>
      </c>
      <c r="M86" s="229" t="e">
        <f t="shared" si="9"/>
        <v>#VALUE!</v>
      </c>
      <c r="N86" s="229" t="e">
        <f t="shared" si="10"/>
        <v>#VALUE!</v>
      </c>
      <c r="O86" s="227"/>
      <c r="P86" s="221"/>
      <c r="Q86" s="212"/>
      <c r="R86" s="211"/>
      <c r="S86" s="163"/>
      <c r="T86" s="192"/>
    </row>
    <row r="87" spans="1:20" ht="15.75" thickBot="1" x14ac:dyDescent="0.3">
      <c r="A87" s="179" t="e">
        <f t="shared" si="11"/>
        <v>#VALUE!</v>
      </c>
      <c r="B87" s="53"/>
      <c r="C87" s="181">
        <v>76</v>
      </c>
      <c r="D87" s="138" t="s">
        <v>137</v>
      </c>
      <c r="E87" s="182"/>
      <c r="F87" s="167"/>
      <c r="G87" s="183"/>
      <c r="H87" s="184"/>
      <c r="I87" s="185"/>
      <c r="J87" s="186"/>
      <c r="K87" s="226"/>
      <c r="L87" s="229" t="e">
        <f t="shared" si="8"/>
        <v>#VALUE!</v>
      </c>
      <c r="M87" s="229" t="e">
        <f t="shared" si="9"/>
        <v>#VALUE!</v>
      </c>
      <c r="N87" s="229" t="e">
        <f t="shared" si="10"/>
        <v>#VALUE!</v>
      </c>
      <c r="O87" s="227"/>
      <c r="P87" s="221"/>
      <c r="Q87" s="212"/>
      <c r="R87" s="211"/>
      <c r="S87" s="163"/>
      <c r="T87" s="192"/>
    </row>
    <row r="88" spans="1:20" ht="15.75" thickBot="1" x14ac:dyDescent="0.3">
      <c r="A88" s="179" t="e">
        <f t="shared" si="11"/>
        <v>#VALUE!</v>
      </c>
      <c r="B88" s="53"/>
      <c r="C88" s="181">
        <v>77</v>
      </c>
      <c r="D88" s="138" t="s">
        <v>137</v>
      </c>
      <c r="E88" s="182"/>
      <c r="F88" s="167"/>
      <c r="G88" s="183"/>
      <c r="H88" s="184"/>
      <c r="I88" s="185"/>
      <c r="J88" s="186"/>
      <c r="K88" s="226"/>
      <c r="L88" s="229" t="e">
        <f t="shared" si="8"/>
        <v>#VALUE!</v>
      </c>
      <c r="M88" s="229" t="e">
        <f t="shared" si="9"/>
        <v>#VALUE!</v>
      </c>
      <c r="N88" s="229" t="e">
        <f t="shared" si="10"/>
        <v>#VALUE!</v>
      </c>
      <c r="O88" s="227"/>
      <c r="P88" s="221"/>
      <c r="Q88" s="212"/>
      <c r="R88" s="211"/>
      <c r="S88" s="163"/>
      <c r="T88" s="192"/>
    </row>
    <row r="89" spans="1:20" ht="15.75" thickBot="1" x14ac:dyDescent="0.3">
      <c r="A89" s="179" t="e">
        <f t="shared" si="11"/>
        <v>#VALUE!</v>
      </c>
      <c r="B89" s="53"/>
      <c r="C89" s="181">
        <v>78</v>
      </c>
      <c r="D89" s="138" t="s">
        <v>137</v>
      </c>
      <c r="E89" s="182"/>
      <c r="F89" s="167"/>
      <c r="G89" s="183"/>
      <c r="H89" s="184"/>
      <c r="I89" s="185"/>
      <c r="J89" s="186"/>
      <c r="K89" s="226"/>
      <c r="L89" s="229" t="e">
        <f t="shared" si="8"/>
        <v>#VALUE!</v>
      </c>
      <c r="M89" s="229" t="e">
        <f t="shared" si="9"/>
        <v>#VALUE!</v>
      </c>
      <c r="N89" s="229" t="e">
        <f t="shared" si="10"/>
        <v>#VALUE!</v>
      </c>
      <c r="O89" s="227"/>
      <c r="P89" s="221"/>
      <c r="Q89" s="212"/>
      <c r="R89" s="211"/>
      <c r="S89" s="163"/>
      <c r="T89" s="192"/>
    </row>
    <row r="90" spans="1:20" ht="15.75" thickBot="1" x14ac:dyDescent="0.3">
      <c r="A90" s="179" t="e">
        <f t="shared" si="11"/>
        <v>#VALUE!</v>
      </c>
      <c r="B90" s="53"/>
      <c r="C90" s="181">
        <v>79</v>
      </c>
      <c r="D90" s="138" t="s">
        <v>137</v>
      </c>
      <c r="E90" s="182"/>
      <c r="F90" s="167"/>
      <c r="G90" s="183"/>
      <c r="H90" s="184"/>
      <c r="I90" s="185"/>
      <c r="J90" s="186"/>
      <c r="K90" s="226"/>
      <c r="L90" s="229" t="e">
        <f t="shared" si="8"/>
        <v>#VALUE!</v>
      </c>
      <c r="M90" s="229" t="e">
        <f t="shared" si="9"/>
        <v>#VALUE!</v>
      </c>
      <c r="N90" s="229" t="e">
        <f t="shared" si="10"/>
        <v>#VALUE!</v>
      </c>
      <c r="O90" s="227"/>
      <c r="P90" s="221"/>
      <c r="Q90" s="212"/>
      <c r="R90" s="211"/>
      <c r="S90" s="163"/>
      <c r="T90" s="192"/>
    </row>
    <row r="91" spans="1:20" ht="15.75" thickBot="1" x14ac:dyDescent="0.3">
      <c r="A91" s="179" t="e">
        <f t="shared" si="11"/>
        <v>#VALUE!</v>
      </c>
      <c r="B91" s="53"/>
      <c r="C91" s="181">
        <v>80</v>
      </c>
      <c r="D91" s="138" t="s">
        <v>137</v>
      </c>
      <c r="E91" s="182"/>
      <c r="F91" s="167"/>
      <c r="G91" s="183"/>
      <c r="H91" s="184"/>
      <c r="I91" s="185"/>
      <c r="J91" s="186"/>
      <c r="K91" s="226"/>
      <c r="L91" s="229" t="e">
        <f t="shared" si="8"/>
        <v>#VALUE!</v>
      </c>
      <c r="M91" s="229" t="e">
        <f t="shared" si="9"/>
        <v>#VALUE!</v>
      </c>
      <c r="N91" s="229" t="e">
        <f t="shared" si="10"/>
        <v>#VALUE!</v>
      </c>
      <c r="O91" s="227"/>
      <c r="P91" s="221"/>
      <c r="Q91" s="212"/>
      <c r="R91" s="211"/>
      <c r="S91" s="163"/>
      <c r="T91" s="192"/>
    </row>
    <row r="92" spans="1:20" ht="15.75" thickBot="1" x14ac:dyDescent="0.3">
      <c r="A92" s="179" t="e">
        <f t="shared" si="11"/>
        <v>#VALUE!</v>
      </c>
      <c r="B92" s="53"/>
      <c r="C92" s="181">
        <v>81</v>
      </c>
      <c r="D92" s="138" t="s">
        <v>137</v>
      </c>
      <c r="E92" s="182"/>
      <c r="F92" s="167"/>
      <c r="G92" s="183"/>
      <c r="H92" s="184"/>
      <c r="I92" s="185"/>
      <c r="J92" s="186"/>
      <c r="K92" s="226"/>
      <c r="L92" s="229" t="e">
        <f t="shared" si="8"/>
        <v>#VALUE!</v>
      </c>
      <c r="M92" s="229" t="e">
        <f t="shared" si="9"/>
        <v>#VALUE!</v>
      </c>
      <c r="N92" s="229" t="e">
        <f t="shared" si="10"/>
        <v>#VALUE!</v>
      </c>
      <c r="O92" s="227"/>
      <c r="P92" s="221"/>
      <c r="Q92" s="212"/>
      <c r="R92" s="211"/>
      <c r="S92" s="163"/>
      <c r="T92" s="192"/>
    </row>
    <row r="93" spans="1:20" ht="15.75" thickBot="1" x14ac:dyDescent="0.3">
      <c r="A93" s="179" t="e">
        <f t="shared" si="11"/>
        <v>#VALUE!</v>
      </c>
      <c r="B93" s="53"/>
      <c r="C93" s="181">
        <v>82</v>
      </c>
      <c r="D93" s="138" t="s">
        <v>137</v>
      </c>
      <c r="E93" s="182"/>
      <c r="F93" s="167"/>
      <c r="G93" s="183"/>
      <c r="H93" s="184"/>
      <c r="I93" s="185"/>
      <c r="J93" s="186"/>
      <c r="K93" s="226"/>
      <c r="L93" s="229" t="e">
        <f t="shared" si="8"/>
        <v>#VALUE!</v>
      </c>
      <c r="M93" s="229" t="e">
        <f t="shared" si="9"/>
        <v>#VALUE!</v>
      </c>
      <c r="N93" s="229" t="e">
        <f t="shared" si="10"/>
        <v>#VALUE!</v>
      </c>
      <c r="O93" s="227"/>
      <c r="P93" s="221"/>
      <c r="Q93" s="212"/>
      <c r="R93" s="211"/>
      <c r="S93" s="163"/>
      <c r="T93" s="192"/>
    </row>
    <row r="94" spans="1:20" ht="15.75" thickBot="1" x14ac:dyDescent="0.3">
      <c r="A94" s="179" t="e">
        <f t="shared" si="11"/>
        <v>#VALUE!</v>
      </c>
      <c r="B94" s="53"/>
      <c r="C94" s="181">
        <v>83</v>
      </c>
      <c r="D94" s="138" t="s">
        <v>137</v>
      </c>
      <c r="E94" s="182"/>
      <c r="F94" s="167"/>
      <c r="G94" s="183"/>
      <c r="H94" s="184"/>
      <c r="I94" s="185"/>
      <c r="J94" s="186"/>
      <c r="K94" s="226"/>
      <c r="L94" s="229" t="e">
        <f t="shared" si="8"/>
        <v>#VALUE!</v>
      </c>
      <c r="M94" s="229" t="e">
        <f t="shared" si="9"/>
        <v>#VALUE!</v>
      </c>
      <c r="N94" s="229" t="e">
        <f t="shared" si="10"/>
        <v>#VALUE!</v>
      </c>
      <c r="O94" s="227"/>
      <c r="P94" s="221"/>
      <c r="Q94" s="212"/>
      <c r="R94" s="211"/>
      <c r="S94" s="163"/>
      <c r="T94" s="192"/>
    </row>
    <row r="95" spans="1:20" ht="15.75" thickBot="1" x14ac:dyDescent="0.3">
      <c r="A95" s="179" t="e">
        <f t="shared" si="11"/>
        <v>#VALUE!</v>
      </c>
      <c r="B95" s="53"/>
      <c r="C95" s="181">
        <v>84</v>
      </c>
      <c r="D95" s="138" t="s">
        <v>137</v>
      </c>
      <c r="E95" s="182"/>
      <c r="F95" s="167"/>
      <c r="G95" s="183"/>
      <c r="H95" s="184"/>
      <c r="I95" s="185"/>
      <c r="J95" s="186"/>
      <c r="K95" s="226"/>
      <c r="L95" s="229" t="e">
        <f t="shared" si="8"/>
        <v>#VALUE!</v>
      </c>
      <c r="M95" s="229" t="e">
        <f t="shared" si="9"/>
        <v>#VALUE!</v>
      </c>
      <c r="N95" s="229" t="e">
        <f t="shared" si="10"/>
        <v>#VALUE!</v>
      </c>
      <c r="O95" s="227"/>
      <c r="P95" s="221"/>
      <c r="Q95" s="212"/>
      <c r="R95" s="211"/>
      <c r="S95" s="163"/>
      <c r="T95" s="192"/>
    </row>
    <row r="96" spans="1:20" ht="15.75" thickBot="1" x14ac:dyDescent="0.3">
      <c r="A96" s="179" t="e">
        <f t="shared" si="11"/>
        <v>#VALUE!</v>
      </c>
      <c r="B96" s="53"/>
      <c r="C96" s="181">
        <v>85</v>
      </c>
      <c r="D96" s="138" t="s">
        <v>137</v>
      </c>
      <c r="E96" s="182"/>
      <c r="F96" s="167"/>
      <c r="G96" s="183"/>
      <c r="H96" s="184"/>
      <c r="I96" s="185"/>
      <c r="J96" s="186"/>
      <c r="K96" s="226"/>
      <c r="L96" s="229" t="e">
        <f t="shared" si="8"/>
        <v>#VALUE!</v>
      </c>
      <c r="M96" s="229" t="e">
        <f t="shared" si="9"/>
        <v>#VALUE!</v>
      </c>
      <c r="N96" s="229" t="e">
        <f t="shared" si="10"/>
        <v>#VALUE!</v>
      </c>
      <c r="O96" s="227"/>
      <c r="P96" s="221"/>
      <c r="Q96" s="212"/>
      <c r="R96" s="211"/>
      <c r="S96" s="163"/>
      <c r="T96" s="192"/>
    </row>
    <row r="97" spans="1:20" ht="15.75" thickBot="1" x14ac:dyDescent="0.3">
      <c r="A97" s="179" t="e">
        <f t="shared" si="11"/>
        <v>#VALUE!</v>
      </c>
      <c r="B97" s="53"/>
      <c r="C97" s="181">
        <v>86</v>
      </c>
      <c r="D97" s="138" t="s">
        <v>137</v>
      </c>
      <c r="E97" s="182"/>
      <c r="F97" s="167"/>
      <c r="G97" s="183"/>
      <c r="H97" s="184"/>
      <c r="I97" s="185"/>
      <c r="J97" s="186"/>
      <c r="K97" s="226"/>
      <c r="L97" s="229" t="e">
        <f t="shared" ref="L97:L113" si="12">LEFT($J97,2)*LEFT($I97,2)</f>
        <v>#VALUE!</v>
      </c>
      <c r="M97" s="229" t="e">
        <f t="shared" ref="M97:M113" si="13">LEFT($K97,2)*LEFT($I97,2)</f>
        <v>#VALUE!</v>
      </c>
      <c r="N97" s="229" t="e">
        <f t="shared" ref="N97:N113" si="14">L97+M97</f>
        <v>#VALUE!</v>
      </c>
      <c r="O97" s="227"/>
      <c r="P97" s="221"/>
      <c r="Q97" s="212"/>
      <c r="R97" s="211"/>
      <c r="S97" s="163"/>
      <c r="T97" s="192"/>
    </row>
    <row r="98" spans="1:20" ht="15.75" thickBot="1" x14ac:dyDescent="0.3">
      <c r="A98" s="179" t="e">
        <f t="shared" si="11"/>
        <v>#VALUE!</v>
      </c>
      <c r="B98" s="53"/>
      <c r="C98" s="181">
        <v>87</v>
      </c>
      <c r="D98" s="138" t="s">
        <v>137</v>
      </c>
      <c r="E98" s="182"/>
      <c r="F98" s="167"/>
      <c r="G98" s="183"/>
      <c r="H98" s="184"/>
      <c r="I98" s="185"/>
      <c r="J98" s="186"/>
      <c r="K98" s="226"/>
      <c r="L98" s="229" t="e">
        <f t="shared" si="12"/>
        <v>#VALUE!</v>
      </c>
      <c r="M98" s="229" t="e">
        <f t="shared" si="13"/>
        <v>#VALUE!</v>
      </c>
      <c r="N98" s="229" t="e">
        <f t="shared" si="14"/>
        <v>#VALUE!</v>
      </c>
      <c r="O98" s="227"/>
      <c r="P98" s="221"/>
      <c r="Q98" s="212"/>
      <c r="R98" s="211"/>
      <c r="S98" s="163"/>
      <c r="T98" s="192"/>
    </row>
    <row r="99" spans="1:20" ht="15.75" thickBot="1" x14ac:dyDescent="0.3">
      <c r="A99" s="179" t="e">
        <f t="shared" si="11"/>
        <v>#VALUE!</v>
      </c>
      <c r="B99" s="53"/>
      <c r="C99" s="181">
        <v>88</v>
      </c>
      <c r="D99" s="138" t="s">
        <v>137</v>
      </c>
      <c r="E99" s="182"/>
      <c r="F99" s="167"/>
      <c r="G99" s="183"/>
      <c r="H99" s="184"/>
      <c r="I99" s="185"/>
      <c r="J99" s="186"/>
      <c r="K99" s="226"/>
      <c r="L99" s="229" t="e">
        <f t="shared" si="12"/>
        <v>#VALUE!</v>
      </c>
      <c r="M99" s="229" t="e">
        <f t="shared" si="13"/>
        <v>#VALUE!</v>
      </c>
      <c r="N99" s="229" t="e">
        <f t="shared" si="14"/>
        <v>#VALUE!</v>
      </c>
      <c r="O99" s="227"/>
      <c r="P99" s="221"/>
      <c r="Q99" s="212"/>
      <c r="R99" s="211"/>
      <c r="S99" s="163"/>
      <c r="T99" s="192"/>
    </row>
    <row r="100" spans="1:20" ht="15.75" thickBot="1" x14ac:dyDescent="0.3">
      <c r="A100" s="179" t="e">
        <f t="shared" si="11"/>
        <v>#VALUE!</v>
      </c>
      <c r="B100" s="53"/>
      <c r="C100" s="181">
        <v>89</v>
      </c>
      <c r="D100" s="138" t="s">
        <v>137</v>
      </c>
      <c r="E100" s="182"/>
      <c r="F100" s="167"/>
      <c r="G100" s="183"/>
      <c r="H100" s="184"/>
      <c r="I100" s="185"/>
      <c r="J100" s="186"/>
      <c r="K100" s="226"/>
      <c r="L100" s="229" t="e">
        <f t="shared" si="12"/>
        <v>#VALUE!</v>
      </c>
      <c r="M100" s="229" t="e">
        <f t="shared" si="13"/>
        <v>#VALUE!</v>
      </c>
      <c r="N100" s="229" t="e">
        <f t="shared" si="14"/>
        <v>#VALUE!</v>
      </c>
      <c r="O100" s="227"/>
      <c r="P100" s="221"/>
      <c r="Q100" s="212"/>
      <c r="R100" s="211"/>
      <c r="S100" s="163"/>
      <c r="T100" s="192"/>
    </row>
    <row r="101" spans="1:20" ht="15.75" thickBot="1" x14ac:dyDescent="0.3">
      <c r="A101" s="179" t="e">
        <f t="shared" si="11"/>
        <v>#VALUE!</v>
      </c>
      <c r="B101" s="53"/>
      <c r="C101" s="181">
        <v>90</v>
      </c>
      <c r="D101" s="138" t="s">
        <v>137</v>
      </c>
      <c r="E101" s="182"/>
      <c r="F101" s="167"/>
      <c r="G101" s="183"/>
      <c r="H101" s="184"/>
      <c r="I101" s="185"/>
      <c r="J101" s="186"/>
      <c r="K101" s="226"/>
      <c r="L101" s="229" t="e">
        <f t="shared" si="12"/>
        <v>#VALUE!</v>
      </c>
      <c r="M101" s="229" t="e">
        <f t="shared" si="13"/>
        <v>#VALUE!</v>
      </c>
      <c r="N101" s="229" t="e">
        <f t="shared" si="14"/>
        <v>#VALUE!</v>
      </c>
      <c r="O101" s="227"/>
      <c r="P101" s="221"/>
      <c r="Q101" s="212"/>
      <c r="R101" s="211"/>
      <c r="S101" s="163"/>
      <c r="T101" s="192"/>
    </row>
    <row r="102" spans="1:20" ht="15.75" thickBot="1" x14ac:dyDescent="0.3">
      <c r="A102" s="179" t="e">
        <f t="shared" si="11"/>
        <v>#VALUE!</v>
      </c>
      <c r="B102" s="53"/>
      <c r="C102" s="181">
        <v>91</v>
      </c>
      <c r="D102" s="138" t="s">
        <v>137</v>
      </c>
      <c r="E102" s="182"/>
      <c r="F102" s="167"/>
      <c r="G102" s="183"/>
      <c r="H102" s="184"/>
      <c r="I102" s="185"/>
      <c r="J102" s="186"/>
      <c r="K102" s="226"/>
      <c r="L102" s="229" t="e">
        <f t="shared" si="12"/>
        <v>#VALUE!</v>
      </c>
      <c r="M102" s="229" t="e">
        <f t="shared" si="13"/>
        <v>#VALUE!</v>
      </c>
      <c r="N102" s="229" t="e">
        <f t="shared" si="14"/>
        <v>#VALUE!</v>
      </c>
      <c r="O102" s="227"/>
      <c r="P102" s="221"/>
      <c r="Q102" s="212"/>
      <c r="R102" s="211"/>
      <c r="S102" s="163"/>
      <c r="T102" s="192"/>
    </row>
    <row r="103" spans="1:20" ht="15.75" thickBot="1" x14ac:dyDescent="0.3">
      <c r="A103" s="179" t="e">
        <f t="shared" si="11"/>
        <v>#VALUE!</v>
      </c>
      <c r="B103" s="53"/>
      <c r="C103" s="181">
        <v>92</v>
      </c>
      <c r="D103" s="138" t="s">
        <v>137</v>
      </c>
      <c r="E103" s="182"/>
      <c r="F103" s="167"/>
      <c r="G103" s="183"/>
      <c r="H103" s="184"/>
      <c r="I103" s="185"/>
      <c r="J103" s="186"/>
      <c r="K103" s="226"/>
      <c r="L103" s="229" t="e">
        <f t="shared" si="12"/>
        <v>#VALUE!</v>
      </c>
      <c r="M103" s="229" t="e">
        <f t="shared" si="13"/>
        <v>#VALUE!</v>
      </c>
      <c r="N103" s="229" t="e">
        <f t="shared" si="14"/>
        <v>#VALUE!</v>
      </c>
      <c r="O103" s="227"/>
      <c r="P103" s="221"/>
      <c r="Q103" s="212"/>
      <c r="R103" s="211"/>
      <c r="S103" s="163"/>
      <c r="T103" s="192"/>
    </row>
    <row r="104" spans="1:20" ht="15.75" thickBot="1" x14ac:dyDescent="0.3">
      <c r="A104" s="179" t="e">
        <f t="shared" si="11"/>
        <v>#VALUE!</v>
      </c>
      <c r="B104" s="53"/>
      <c r="C104" s="181">
        <v>93</v>
      </c>
      <c r="D104" s="138" t="s">
        <v>137</v>
      </c>
      <c r="E104" s="182"/>
      <c r="F104" s="167"/>
      <c r="G104" s="183"/>
      <c r="H104" s="184"/>
      <c r="I104" s="185"/>
      <c r="J104" s="186"/>
      <c r="K104" s="226"/>
      <c r="L104" s="229" t="e">
        <f t="shared" si="12"/>
        <v>#VALUE!</v>
      </c>
      <c r="M104" s="229" t="e">
        <f t="shared" si="13"/>
        <v>#VALUE!</v>
      </c>
      <c r="N104" s="229" t="e">
        <f t="shared" si="14"/>
        <v>#VALUE!</v>
      </c>
      <c r="O104" s="227"/>
      <c r="P104" s="221"/>
      <c r="Q104" s="212"/>
      <c r="R104" s="211"/>
      <c r="S104" s="163"/>
      <c r="T104" s="192"/>
    </row>
    <row r="105" spans="1:20" ht="15.75" thickBot="1" x14ac:dyDescent="0.3">
      <c r="A105" s="179" t="e">
        <f t="shared" si="11"/>
        <v>#VALUE!</v>
      </c>
      <c r="B105" s="53"/>
      <c r="C105" s="181">
        <v>94</v>
      </c>
      <c r="D105" s="138" t="s">
        <v>137</v>
      </c>
      <c r="E105" s="182"/>
      <c r="F105" s="167"/>
      <c r="G105" s="183"/>
      <c r="H105" s="184"/>
      <c r="I105" s="185"/>
      <c r="J105" s="186"/>
      <c r="K105" s="226"/>
      <c r="L105" s="229" t="e">
        <f t="shared" si="12"/>
        <v>#VALUE!</v>
      </c>
      <c r="M105" s="229" t="e">
        <f t="shared" si="13"/>
        <v>#VALUE!</v>
      </c>
      <c r="N105" s="229" t="e">
        <f t="shared" si="14"/>
        <v>#VALUE!</v>
      </c>
      <c r="O105" s="227"/>
      <c r="P105" s="221"/>
      <c r="Q105" s="212"/>
      <c r="R105" s="211"/>
      <c r="S105" s="163"/>
      <c r="T105" s="192"/>
    </row>
    <row r="106" spans="1:20" ht="15.75" thickBot="1" x14ac:dyDescent="0.3">
      <c r="A106" s="179" t="e">
        <f t="shared" si="11"/>
        <v>#VALUE!</v>
      </c>
      <c r="B106" s="53"/>
      <c r="C106" s="181">
        <v>95</v>
      </c>
      <c r="D106" s="138" t="s">
        <v>137</v>
      </c>
      <c r="E106" s="182"/>
      <c r="F106" s="167"/>
      <c r="G106" s="183"/>
      <c r="H106" s="184"/>
      <c r="I106" s="185"/>
      <c r="J106" s="186"/>
      <c r="K106" s="226"/>
      <c r="L106" s="229" t="e">
        <f t="shared" si="12"/>
        <v>#VALUE!</v>
      </c>
      <c r="M106" s="229" t="e">
        <f t="shared" si="13"/>
        <v>#VALUE!</v>
      </c>
      <c r="N106" s="229" t="e">
        <f t="shared" si="14"/>
        <v>#VALUE!</v>
      </c>
      <c r="O106" s="227"/>
      <c r="P106" s="221"/>
      <c r="Q106" s="212"/>
      <c r="R106" s="211"/>
      <c r="S106" s="163"/>
      <c r="T106" s="192"/>
    </row>
    <row r="107" spans="1:20" ht="15.75" thickBot="1" x14ac:dyDescent="0.3">
      <c r="A107" s="179" t="e">
        <f t="shared" si="11"/>
        <v>#VALUE!</v>
      </c>
      <c r="B107" s="53"/>
      <c r="C107" s="181">
        <v>96</v>
      </c>
      <c r="D107" s="138" t="s">
        <v>137</v>
      </c>
      <c r="E107" s="182"/>
      <c r="F107" s="167"/>
      <c r="G107" s="183"/>
      <c r="H107" s="184"/>
      <c r="I107" s="185"/>
      <c r="J107" s="186"/>
      <c r="K107" s="226"/>
      <c r="L107" s="229" t="e">
        <f t="shared" si="12"/>
        <v>#VALUE!</v>
      </c>
      <c r="M107" s="229" t="e">
        <f t="shared" si="13"/>
        <v>#VALUE!</v>
      </c>
      <c r="N107" s="229" t="e">
        <f t="shared" si="14"/>
        <v>#VALUE!</v>
      </c>
      <c r="O107" s="227"/>
      <c r="P107" s="221"/>
      <c r="Q107" s="212"/>
      <c r="R107" s="211"/>
      <c r="S107" s="163"/>
      <c r="T107" s="192"/>
    </row>
    <row r="108" spans="1:20" ht="15.75" thickBot="1" x14ac:dyDescent="0.3">
      <c r="A108" s="179" t="e">
        <f t="shared" ref="A108:A113" si="15">RANK(N108,N108:N156,0)</f>
        <v>#VALUE!</v>
      </c>
      <c r="B108" s="53"/>
      <c r="C108" s="181">
        <v>97</v>
      </c>
      <c r="D108" s="138" t="s">
        <v>137</v>
      </c>
      <c r="E108" s="182"/>
      <c r="F108" s="167"/>
      <c r="G108" s="183"/>
      <c r="H108" s="184"/>
      <c r="I108" s="185"/>
      <c r="J108" s="186"/>
      <c r="K108" s="226"/>
      <c r="L108" s="229" t="e">
        <f t="shared" si="12"/>
        <v>#VALUE!</v>
      </c>
      <c r="M108" s="229" t="e">
        <f t="shared" si="13"/>
        <v>#VALUE!</v>
      </c>
      <c r="N108" s="229" t="e">
        <f t="shared" si="14"/>
        <v>#VALUE!</v>
      </c>
      <c r="O108" s="227"/>
      <c r="P108" s="221"/>
      <c r="Q108" s="212"/>
      <c r="R108" s="211"/>
      <c r="S108" s="163"/>
      <c r="T108" s="192"/>
    </row>
    <row r="109" spans="1:20" ht="15.75" thickBot="1" x14ac:dyDescent="0.3">
      <c r="A109" s="179" t="e">
        <f t="shared" si="15"/>
        <v>#VALUE!</v>
      </c>
      <c r="B109" s="53"/>
      <c r="C109" s="181">
        <v>98</v>
      </c>
      <c r="D109" s="138" t="s">
        <v>137</v>
      </c>
      <c r="E109" s="182"/>
      <c r="F109" s="167"/>
      <c r="G109" s="183"/>
      <c r="H109" s="184"/>
      <c r="I109" s="185"/>
      <c r="J109" s="186"/>
      <c r="K109" s="226"/>
      <c r="L109" s="229" t="e">
        <f t="shared" si="12"/>
        <v>#VALUE!</v>
      </c>
      <c r="M109" s="229" t="e">
        <f t="shared" si="13"/>
        <v>#VALUE!</v>
      </c>
      <c r="N109" s="229" t="e">
        <f t="shared" si="14"/>
        <v>#VALUE!</v>
      </c>
      <c r="O109" s="227"/>
      <c r="P109" s="221"/>
      <c r="Q109" s="212"/>
      <c r="R109" s="211"/>
      <c r="S109" s="163"/>
      <c r="T109" s="192"/>
    </row>
    <row r="110" spans="1:20" ht="15.75" thickBot="1" x14ac:dyDescent="0.3">
      <c r="A110" s="179" t="e">
        <f t="shared" si="15"/>
        <v>#VALUE!</v>
      </c>
      <c r="B110" s="53"/>
      <c r="C110" s="181">
        <v>99</v>
      </c>
      <c r="D110" s="138" t="s">
        <v>137</v>
      </c>
      <c r="E110" s="182"/>
      <c r="F110" s="167"/>
      <c r="G110" s="183"/>
      <c r="H110" s="184"/>
      <c r="I110" s="185"/>
      <c r="J110" s="186"/>
      <c r="K110" s="226"/>
      <c r="L110" s="229" t="e">
        <f t="shared" si="12"/>
        <v>#VALUE!</v>
      </c>
      <c r="M110" s="229" t="e">
        <f t="shared" si="13"/>
        <v>#VALUE!</v>
      </c>
      <c r="N110" s="229" t="e">
        <f t="shared" si="14"/>
        <v>#VALUE!</v>
      </c>
      <c r="O110" s="227"/>
      <c r="P110" s="221"/>
      <c r="Q110" s="212"/>
      <c r="R110" s="211"/>
      <c r="S110" s="163"/>
      <c r="T110" s="192"/>
    </row>
    <row r="111" spans="1:20" ht="35.1" customHeight="1" thickBot="1" x14ac:dyDescent="0.3">
      <c r="A111" s="179" t="e">
        <f t="shared" si="15"/>
        <v>#VALUE!</v>
      </c>
      <c r="B111" s="53"/>
      <c r="C111" s="181"/>
      <c r="D111" s="138" t="s">
        <v>137</v>
      </c>
      <c r="E111" s="182"/>
      <c r="F111" s="167"/>
      <c r="G111" s="183"/>
      <c r="H111" s="184"/>
      <c r="I111" s="185"/>
      <c r="J111" s="186"/>
      <c r="K111" s="226"/>
      <c r="L111" s="229" t="e">
        <f t="shared" si="12"/>
        <v>#VALUE!</v>
      </c>
      <c r="M111" s="229" t="e">
        <f t="shared" si="13"/>
        <v>#VALUE!</v>
      </c>
      <c r="N111" s="229" t="e">
        <f t="shared" si="14"/>
        <v>#VALUE!</v>
      </c>
      <c r="O111" s="227"/>
      <c r="P111" s="221"/>
      <c r="Q111" s="212"/>
      <c r="R111" s="158"/>
      <c r="S111" s="158"/>
      <c r="T111" s="192"/>
    </row>
    <row r="112" spans="1:20" ht="35.1" customHeight="1" thickBot="1" x14ac:dyDescent="0.3">
      <c r="A112" s="179" t="e">
        <f t="shared" si="15"/>
        <v>#VALUE!</v>
      </c>
      <c r="B112" s="215"/>
      <c r="C112" s="180"/>
      <c r="D112" s="181" t="s">
        <v>104</v>
      </c>
      <c r="E112" s="182"/>
      <c r="F112" s="167"/>
      <c r="G112" s="183"/>
      <c r="H112" s="184"/>
      <c r="I112" s="185"/>
      <c r="J112" s="186"/>
      <c r="K112" s="187"/>
      <c r="L112" s="188" t="e">
        <f t="shared" si="12"/>
        <v>#VALUE!</v>
      </c>
      <c r="M112" s="189" t="e">
        <f t="shared" si="13"/>
        <v>#VALUE!</v>
      </c>
      <c r="N112" s="228" t="e">
        <f t="shared" si="14"/>
        <v>#VALUE!</v>
      </c>
      <c r="O112" s="191"/>
      <c r="P112" s="209"/>
      <c r="Q112" s="212"/>
      <c r="R112" s="158"/>
      <c r="S112" s="158"/>
      <c r="T112" s="192"/>
    </row>
    <row r="113" spans="1:20" ht="35.1" customHeight="1" x14ac:dyDescent="0.25">
      <c r="A113" s="193" t="e">
        <f t="shared" si="15"/>
        <v>#VALUE!</v>
      </c>
      <c r="B113" s="215"/>
      <c r="C113" s="180"/>
      <c r="D113" s="194" t="s">
        <v>104</v>
      </c>
      <c r="E113" s="195"/>
      <c r="F113" s="168"/>
      <c r="G113" s="196"/>
      <c r="H113" s="197"/>
      <c r="I113" s="198"/>
      <c r="J113" s="199"/>
      <c r="K113" s="200"/>
      <c r="L113" s="188" t="e">
        <f t="shared" si="12"/>
        <v>#VALUE!</v>
      </c>
      <c r="M113" s="189" t="e">
        <f t="shared" si="13"/>
        <v>#VALUE!</v>
      </c>
      <c r="N113" s="201" t="e">
        <f t="shared" si="14"/>
        <v>#VALUE!</v>
      </c>
      <c r="O113" s="202"/>
      <c r="P113" s="210"/>
      <c r="Q113" s="212"/>
      <c r="R113" s="159"/>
      <c r="S113" s="159"/>
      <c r="T113" s="203"/>
    </row>
    <row r="114" spans="1:20" ht="35.1" customHeight="1" x14ac:dyDescent="0.25">
      <c r="Q114" s="213"/>
    </row>
  </sheetData>
  <sheetProtection selectLockedCells="1" selectUnlockedCells="1"/>
  <mergeCells count="10">
    <mergeCell ref="A7:C7"/>
    <mergeCell ref="D7:E7"/>
    <mergeCell ref="A9:D9"/>
    <mergeCell ref="E9:H9"/>
    <mergeCell ref="I9:P9"/>
    <mergeCell ref="Q9:T9"/>
    <mergeCell ref="G10:H10"/>
    <mergeCell ref="J10:K10"/>
    <mergeCell ref="O10:P10"/>
    <mergeCell ref="D2:E3"/>
  </mergeCells>
  <conditionalFormatting sqref="L12:M2000">
    <cfRule type="cellIs" dxfId="29" priority="4" operator="between">
      <formula>16</formula>
      <formula>50</formula>
    </cfRule>
    <cfRule type="cellIs" dxfId="28" priority="5" operator="between">
      <formula>6</formula>
      <formula>14</formula>
    </cfRule>
    <cfRule type="cellIs" dxfId="27" priority="6" operator="between">
      <formula>1</formula>
      <formula>5</formula>
    </cfRule>
  </conditionalFormatting>
  <conditionalFormatting sqref="N12:N2000">
    <cfRule type="cellIs" dxfId="26" priority="1" operator="between">
      <formula>28</formula>
      <formula>100</formula>
    </cfRule>
    <cfRule type="cellIs" dxfId="25" priority="2" operator="between">
      <formula>11</formula>
      <formula>27</formula>
    </cfRule>
    <cfRule type="cellIs" dxfId="24" priority="3" operator="between">
      <formula>1</formula>
      <formula>10</formula>
    </cfRule>
  </conditionalFormatting>
  <dataValidations xWindow="621" yWindow="526" count="15">
    <dataValidation type="list" allowBlank="1" showInputMessage="1" showErrorMessage="1" sqref="H12:H221">
      <formula1>rmayoccurin</formula1>
    </dataValidation>
    <dataValidation allowBlank="1" showInputMessage="1" showErrorMessage="1" prompt="Risk statement in the form:_x000a_“As a result of &lt;definite cause&gt;, &lt;uncertain event&gt; may occur,_x000a_which would lead to &lt;effect on objective(s)&gt;.”" sqref="E13:E3741 F112:F3741"/>
    <dataValidation type="list" allowBlank="1" showInputMessage="1" showErrorMessage="1" promptTitle="Metrics:" prompt="View the &quot;Impact and Probability Metrics&quot; worksheet for help in selecting risk probability." sqref="I12:I3795">
      <formula1>rprob</formula1>
    </dataValidation>
    <dataValidation type="list" allowBlank="1" showInputMessage="1" showErrorMessage="1" promptTitle="Metrics:" prompt="View the &quot;Impact and Probability Metrics&quot; worksheet for help in selecting schedule impact." sqref="J12:J3768">
      <formula1>rimp</formula1>
    </dataValidation>
    <dataValidation type="list" allowBlank="1" showInputMessage="1" showErrorMessage="1" promptTitle="Metrics:" prompt="View the &quot;Impact and Probability Metrics&quot; worksheet for help in selecting cost impact." sqref="K12:K3984">
      <formula1>rimp</formula1>
    </dataValidation>
    <dataValidation type="list" allowBlank="1" showInputMessage="1" showErrorMessage="1" promptTitle="Select the response strategy:" prompt="_x000a_For Threats: Avoid, Transfer, Mitigate or Accept_x000a__x000a_For Opportunities: Exploit, Share, Enhance or Accept" sqref="Q12:Q3795 R111:S3795">
      <formula1>rstrategy</formula1>
    </dataValidation>
    <dataValidation allowBlank="1" showInputMessage="1" showErrorMessage="1" prompt="Rank based upon Final Score." sqref="A12:A3903 B112:B3903"/>
    <dataValidation allowBlank="1" showInputMessage="1" showErrorMessage="1" prompt="The detailed action plan to be implemented if the risk is realized." sqref="T12:T19 T21:T4092"/>
    <dataValidation allowBlank="1" showInputMessage="1" showErrorMessage="1" prompt="Unique identifier for tracking purposes. The identifier is typically numeric in sequential order of entry." sqref="C12:C4335"/>
    <dataValidation allowBlank="1" showInputMessage="1" showErrorMessage="1" prompt="Indicate the Alternative ID Number that this specific risk belongs to (1, 2A, 2B, 3A, etc)." sqref="D114:D4832"/>
    <dataValidation allowBlank="1" showInputMessage="1" showErrorMessage="1" prompt="Calculated schedule impact in days." sqref="O12:O3742"/>
    <dataValidation allowBlank="1" showInputMessage="1" showErrorMessage="1" prompt="Calculated cost impact in dollars." sqref="P12:P3867"/>
    <dataValidation type="list" allowBlank="1" showInputMessage="1" showErrorMessage="1" prompt="The functional area responsible for risk analysis and risk response planning for a designated risk." sqref="G12:G3942">
      <formula1>iriskowner</formula1>
    </dataValidation>
    <dataValidation allowBlank="1" showInputMessage="1" showErrorMessage="1" prompt="Risk statement in the form:_x000a_“As a result of &lt;definite cause&gt;, &lt;uncertain event&gt; may occur,_x000a_which would lead to cost, schedule or other form of consequence.”" sqref="E12"/>
    <dataValidation allowBlank="1" showInputMessage="1" showErrorMessage="1" prompt="List the consequnces associated with the risk statement." sqref="F12:F111"/>
  </dataValidations>
  <printOptions horizontalCentered="1"/>
  <pageMargins left="0.25" right="0.25" top="0.25" bottom="0.25" header="0.3" footer="0.3"/>
  <pageSetup paperSize="5" scale="37" fitToHeight="2" orientation="landscape" r:id="rId1"/>
  <legacyDrawing r:id="rId2"/>
  <tableParts count="1">
    <tablePart r:id="rId3"/>
  </tableParts>
  <extLst>
    <ext xmlns:x14="http://schemas.microsoft.com/office/spreadsheetml/2009/9/main" uri="{CCE6A557-97BC-4b89-ADB6-D9C93CAAB3DF}">
      <x14:dataValidations xmlns:xm="http://schemas.microsoft.com/office/excel/2006/main" xWindow="621" yWindow="526" count="4">
        <x14:dataValidation type="list" allowBlank="1" showInputMessage="1" showErrorMessage="1" prompt="Indicate the Alternative ID Number that this specific risk belongs to (1, 2A, 2B, 3A, etc).">
          <x14:formula1>
            <xm:f>'Data Validation Sheet'!$D$12:$D$17</xm:f>
          </x14:formula1>
          <xm:sqref>D112:D113</xm:sqref>
        </x14:dataValidation>
        <x14:dataValidation type="list" allowBlank="1" showInputMessage="1" showErrorMessage="1" prompt="Indicate if the risk is open, closed or dormant.">
          <x14:formula1>
            <xm:f>'Data Validation Sheet'!$D$21:$D$23</xm:f>
          </x14:formula1>
          <xm:sqref>B12:B111</xm:sqref>
        </x14:dataValidation>
        <x14:dataValidation type="list" allowBlank="1" showInputMessage="1" showErrorMessage="1" prompt="Indicate the key area of project risk .">
          <x14:formula1>
            <xm:f>'Data Validation Sheet'!$D$12:$D$18</xm:f>
          </x14:formula1>
          <xm:sqref>D12:D20 D22:D111</xm:sqref>
        </x14:dataValidation>
        <x14:dataValidation type="list" allowBlank="1" showInputMessage="1" showErrorMessage="1" prompt="Indicate the key area of project risk.">
          <x14:formula1>
            <xm:f>'Data Validation Sheet'!$D$12:$D$17</xm:f>
          </x14:formula1>
          <xm:sqref>D21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H19"/>
  <sheetViews>
    <sheetView tabSelected="1" view="pageBreakPreview" zoomScale="84" zoomScaleNormal="85" zoomScaleSheetLayoutView="84" workbookViewId="0">
      <selection activeCell="F13" sqref="F13"/>
    </sheetView>
  </sheetViews>
  <sheetFormatPr defaultRowHeight="15" x14ac:dyDescent="0.25"/>
  <cols>
    <col min="2" max="2" width="18.140625" customWidth="1"/>
    <col min="3" max="3" width="19" customWidth="1"/>
    <col min="4" max="4" width="16.5703125" bestFit="1" customWidth="1"/>
    <col min="5" max="5" width="18.42578125" bestFit="1" customWidth="1"/>
    <col min="6" max="6" width="19.42578125" bestFit="1" customWidth="1"/>
    <col min="7" max="7" width="17.7109375" bestFit="1" customWidth="1"/>
    <col min="8" max="8" width="9.85546875" bestFit="1" customWidth="1"/>
  </cols>
  <sheetData>
    <row r="1" spans="2:8" ht="15.75" thickBot="1" x14ac:dyDescent="0.3"/>
    <row r="2" spans="2:8" ht="16.5" thickBot="1" x14ac:dyDescent="0.3">
      <c r="B2" s="252" t="s">
        <v>20</v>
      </c>
      <c r="C2" s="253"/>
      <c r="D2" s="253"/>
      <c r="E2" s="253"/>
      <c r="F2" s="253"/>
      <c r="G2" s="254"/>
      <c r="H2" s="2"/>
    </row>
    <row r="3" spans="2:8" ht="32.25" customHeight="1" thickBot="1" x14ac:dyDescent="0.3">
      <c r="B3" s="3" t="s">
        <v>21</v>
      </c>
      <c r="C3" s="4" t="s">
        <v>22</v>
      </c>
      <c r="D3" s="4" t="s">
        <v>23</v>
      </c>
      <c r="E3" s="4" t="s">
        <v>24</v>
      </c>
      <c r="F3" s="4" t="s">
        <v>25</v>
      </c>
      <c r="G3" s="5" t="s">
        <v>26</v>
      </c>
      <c r="H3" s="2"/>
    </row>
    <row r="4" spans="2:8" ht="50.1" customHeight="1" x14ac:dyDescent="0.25">
      <c r="B4" s="135" t="s">
        <v>27</v>
      </c>
      <c r="C4" s="121" t="s">
        <v>28</v>
      </c>
      <c r="D4" s="121" t="s">
        <v>29</v>
      </c>
      <c r="E4" s="121" t="s">
        <v>30</v>
      </c>
      <c r="F4" s="121" t="s">
        <v>31</v>
      </c>
      <c r="G4" s="122" t="s">
        <v>32</v>
      </c>
      <c r="H4" s="2"/>
    </row>
    <row r="5" spans="2:8" ht="50.1" customHeight="1" thickBot="1" x14ac:dyDescent="0.3">
      <c r="B5" s="6" t="s">
        <v>33</v>
      </c>
      <c r="C5" s="7" t="s">
        <v>34</v>
      </c>
      <c r="D5" s="7" t="s">
        <v>35</v>
      </c>
      <c r="E5" s="7" t="s">
        <v>36</v>
      </c>
      <c r="F5" s="7" t="s">
        <v>37</v>
      </c>
      <c r="G5" s="8" t="s">
        <v>38</v>
      </c>
      <c r="H5" s="2"/>
    </row>
    <row r="6" spans="2:8" ht="50.1" customHeight="1" thickBot="1" x14ac:dyDescent="0.3">
      <c r="B6" s="9" t="s">
        <v>39</v>
      </c>
      <c r="C6" s="113" t="s">
        <v>40</v>
      </c>
      <c r="D6" s="113" t="s">
        <v>41</v>
      </c>
      <c r="E6" s="113" t="s">
        <v>42</v>
      </c>
      <c r="F6" s="113" t="s">
        <v>43</v>
      </c>
      <c r="G6" s="10" t="s">
        <v>44</v>
      </c>
      <c r="H6" s="2"/>
    </row>
    <row r="7" spans="2:8" ht="50.1" customHeight="1" thickBot="1" x14ac:dyDescent="0.3">
      <c r="B7" s="11" t="s">
        <v>45</v>
      </c>
      <c r="C7" s="12" t="s">
        <v>46</v>
      </c>
      <c r="D7" s="12" t="s">
        <v>47</v>
      </c>
      <c r="E7" s="12" t="s">
        <v>48</v>
      </c>
      <c r="F7" s="12" t="s">
        <v>49</v>
      </c>
      <c r="G7" s="13" t="s">
        <v>50</v>
      </c>
      <c r="H7" s="2"/>
    </row>
    <row r="8" spans="2:8" ht="31.5" customHeight="1" thickTop="1" thickBot="1" x14ac:dyDescent="0.3">
      <c r="B8" s="14" t="s">
        <v>18</v>
      </c>
      <c r="C8" s="113" t="s">
        <v>51</v>
      </c>
      <c r="D8" s="113" t="s">
        <v>52</v>
      </c>
      <c r="E8" s="113" t="s">
        <v>53</v>
      </c>
      <c r="F8" s="113" t="s">
        <v>54</v>
      </c>
      <c r="G8" s="10" t="s">
        <v>55</v>
      </c>
      <c r="H8" s="2"/>
    </row>
    <row r="9" spans="2:8" x14ac:dyDescent="0.25">
      <c r="B9" s="2"/>
      <c r="C9" s="15"/>
      <c r="D9" s="15"/>
      <c r="E9" s="15"/>
      <c r="F9" s="15"/>
      <c r="G9" s="15"/>
      <c r="H9" s="15"/>
    </row>
    <row r="10" spans="2:8" ht="15.75" thickBot="1" x14ac:dyDescent="0.3">
      <c r="B10" s="2"/>
      <c r="C10" s="2"/>
      <c r="D10" s="2"/>
      <c r="E10" s="2"/>
      <c r="F10" s="2"/>
      <c r="G10" s="2"/>
      <c r="H10" s="2"/>
    </row>
    <row r="11" spans="2:8" ht="16.5" thickBot="1" x14ac:dyDescent="0.3">
      <c r="B11" s="255" t="s">
        <v>56</v>
      </c>
      <c r="C11" s="256"/>
      <c r="D11" s="256"/>
      <c r="E11" s="256"/>
      <c r="F11" s="256"/>
      <c r="G11" s="256"/>
      <c r="H11" s="257"/>
    </row>
    <row r="12" spans="2:8" ht="15.75" thickBot="1" x14ac:dyDescent="0.3">
      <c r="B12" s="258" t="s">
        <v>57</v>
      </c>
      <c r="C12" s="145" t="s">
        <v>78</v>
      </c>
      <c r="D12" s="22">
        <v>5</v>
      </c>
      <c r="E12" s="18">
        <v>10</v>
      </c>
      <c r="F12" s="16">
        <v>20</v>
      </c>
      <c r="G12" s="16">
        <v>35</v>
      </c>
      <c r="H12" s="17">
        <v>50</v>
      </c>
    </row>
    <row r="13" spans="2:8" ht="15.75" thickBot="1" x14ac:dyDescent="0.3">
      <c r="B13" s="259"/>
      <c r="C13" s="146" t="s">
        <v>81</v>
      </c>
      <c r="D13" s="22">
        <v>4</v>
      </c>
      <c r="E13" s="18">
        <v>8</v>
      </c>
      <c r="F13" s="19">
        <v>16</v>
      </c>
      <c r="G13" s="19">
        <v>28</v>
      </c>
      <c r="H13" s="20">
        <v>40</v>
      </c>
    </row>
    <row r="14" spans="2:8" ht="15.75" thickBot="1" x14ac:dyDescent="0.3">
      <c r="B14" s="259"/>
      <c r="C14" s="146" t="s">
        <v>79</v>
      </c>
      <c r="D14" s="22">
        <v>3</v>
      </c>
      <c r="E14" s="18">
        <v>6</v>
      </c>
      <c r="F14" s="18">
        <v>12</v>
      </c>
      <c r="G14" s="19">
        <v>21</v>
      </c>
      <c r="H14" s="20">
        <v>30</v>
      </c>
    </row>
    <row r="15" spans="2:8" ht="15.75" thickBot="1" x14ac:dyDescent="0.3">
      <c r="B15" s="259"/>
      <c r="C15" s="146" t="s">
        <v>80</v>
      </c>
      <c r="D15" s="22">
        <v>2</v>
      </c>
      <c r="E15" s="21">
        <v>4</v>
      </c>
      <c r="F15" s="18">
        <v>8</v>
      </c>
      <c r="G15" s="18">
        <v>14</v>
      </c>
      <c r="H15" s="20">
        <v>20</v>
      </c>
    </row>
    <row r="16" spans="2:8" ht="15.75" thickBot="1" x14ac:dyDescent="0.3">
      <c r="B16" s="260"/>
      <c r="C16" s="147" t="s">
        <v>82</v>
      </c>
      <c r="D16" s="22">
        <v>1</v>
      </c>
      <c r="E16" s="22">
        <v>2</v>
      </c>
      <c r="F16" s="22">
        <v>4</v>
      </c>
      <c r="G16" s="23">
        <v>7</v>
      </c>
      <c r="H16" s="24">
        <v>10</v>
      </c>
    </row>
    <row r="17" spans="2:8" x14ac:dyDescent="0.25">
      <c r="B17" s="261"/>
      <c r="C17" s="263"/>
      <c r="D17" s="25">
        <v>1</v>
      </c>
      <c r="E17" s="26">
        <v>2</v>
      </c>
      <c r="F17" s="26">
        <v>4</v>
      </c>
      <c r="G17" s="26">
        <v>7</v>
      </c>
      <c r="H17" s="27">
        <v>10</v>
      </c>
    </row>
    <row r="18" spans="2:8" ht="15.75" thickBot="1" x14ac:dyDescent="0.3">
      <c r="B18" s="262"/>
      <c r="C18" s="263"/>
      <c r="D18" s="28" t="s">
        <v>22</v>
      </c>
      <c r="E18" s="29" t="s">
        <v>23</v>
      </c>
      <c r="F18" s="29" t="s">
        <v>24</v>
      </c>
      <c r="G18" s="29" t="s">
        <v>25</v>
      </c>
      <c r="H18" s="30" t="s">
        <v>26</v>
      </c>
    </row>
    <row r="19" spans="2:8" ht="15.75" thickBot="1" x14ac:dyDescent="0.3">
      <c r="B19" s="31"/>
      <c r="C19" s="32"/>
      <c r="D19" s="249" t="s">
        <v>58</v>
      </c>
      <c r="E19" s="250"/>
      <c r="F19" s="250"/>
      <c r="G19" s="250"/>
      <c r="H19" s="251"/>
    </row>
  </sheetData>
  <mergeCells count="6">
    <mergeCell ref="D19:H19"/>
    <mergeCell ref="B2:G2"/>
    <mergeCell ref="B11:H11"/>
    <mergeCell ref="B12:B16"/>
    <mergeCell ref="B17:B18"/>
    <mergeCell ref="C17:C18"/>
  </mergeCells>
  <pageMargins left="0.7" right="0.7" top="0.75" bottom="0.75" header="0.3" footer="0.3"/>
  <pageSetup scale="95"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35"/>
  <sheetViews>
    <sheetView topLeftCell="A11" zoomScale="205" zoomScaleNormal="205" workbookViewId="0">
      <selection activeCell="C17" sqref="C17"/>
    </sheetView>
  </sheetViews>
  <sheetFormatPr defaultRowHeight="15" x14ac:dyDescent="0.25"/>
  <cols>
    <col min="2" max="2" width="26.7109375" bestFit="1" customWidth="1"/>
    <col min="4" max="4" width="24.140625" customWidth="1"/>
    <col min="7" max="7" width="26.28515625" bestFit="1" customWidth="1"/>
    <col min="9" max="9" width="27" bestFit="1" customWidth="1"/>
    <col min="10" max="10" width="14" customWidth="1"/>
    <col min="11" max="11" width="10.5703125" customWidth="1"/>
    <col min="12" max="12" width="12.7109375" customWidth="1"/>
  </cols>
  <sheetData>
    <row r="1" spans="1:12" x14ac:dyDescent="0.25">
      <c r="A1" s="264" t="s">
        <v>100</v>
      </c>
      <c r="B1" s="265"/>
      <c r="C1" s="265"/>
      <c r="D1" s="265"/>
      <c r="E1" s="265"/>
      <c r="F1" s="266"/>
      <c r="G1" s="264" t="s">
        <v>59</v>
      </c>
      <c r="H1" s="265"/>
      <c r="I1" s="265"/>
      <c r="J1" s="265"/>
      <c r="K1" s="266"/>
    </row>
    <row r="2" spans="1:12" x14ac:dyDescent="0.25">
      <c r="A2" s="267"/>
      <c r="B2" s="268"/>
      <c r="C2" s="268"/>
      <c r="D2" s="268"/>
      <c r="E2" s="268"/>
      <c r="F2" s="269"/>
      <c r="G2" s="267"/>
      <c r="H2" s="268"/>
      <c r="I2" s="268"/>
      <c r="J2" s="268"/>
      <c r="K2" s="269"/>
    </row>
    <row r="3" spans="1:12" ht="15.75" thickBot="1" x14ac:dyDescent="0.3">
      <c r="A3" s="270"/>
      <c r="B3" s="271"/>
      <c r="C3" s="271"/>
      <c r="D3" s="271"/>
      <c r="E3" s="271"/>
      <c r="F3" s="272"/>
      <c r="G3" s="270"/>
      <c r="H3" s="271"/>
      <c r="I3" s="271"/>
      <c r="J3" s="271"/>
      <c r="K3" s="272"/>
    </row>
    <row r="4" spans="1:12" s="33" customFormat="1" ht="19.5" customHeight="1" thickBot="1" x14ac:dyDescent="0.3">
      <c r="B4" s="142" t="s">
        <v>97</v>
      </c>
      <c r="D4" s="43" t="s">
        <v>88</v>
      </c>
      <c r="G4" s="33" t="s">
        <v>10</v>
      </c>
      <c r="I4" s="33" t="s">
        <v>75</v>
      </c>
      <c r="J4" s="43" t="s">
        <v>13</v>
      </c>
      <c r="L4" s="33" t="s">
        <v>76</v>
      </c>
    </row>
    <row r="5" spans="1:12" ht="15.75" thickBot="1" x14ac:dyDescent="0.3">
      <c r="B5" s="34" t="s">
        <v>106</v>
      </c>
      <c r="D5" s="34" t="s">
        <v>62</v>
      </c>
      <c r="G5" s="37" t="str">
        <f>'[1]Impact and Probability Metrics'!D18</f>
        <v>Very Low</v>
      </c>
      <c r="H5" s="38">
        <v>1</v>
      </c>
      <c r="I5" s="38" t="str">
        <f>CONCATENATE(H5," - ",G5)</f>
        <v>1 - Very Low</v>
      </c>
      <c r="J5" s="37" t="str">
        <f>'[1]Impact and Probability Metrics'!D18</f>
        <v>Very Low</v>
      </c>
      <c r="K5" s="38">
        <f>'[1]Impact and Probability Metrics'!D17</f>
        <v>1</v>
      </c>
      <c r="L5" s="38" t="str">
        <f>CONCATENATE(K5," - ",J5)</f>
        <v>1 - Very Low</v>
      </c>
    </row>
    <row r="6" spans="1:12" ht="15.75" thickBot="1" x14ac:dyDescent="0.3">
      <c r="B6" s="35" t="s">
        <v>61</v>
      </c>
      <c r="D6" s="35" t="s">
        <v>63</v>
      </c>
      <c r="G6" s="39" t="str">
        <f>'[1]Impact and Probability Metrics'!E18</f>
        <v>Low</v>
      </c>
      <c r="H6" s="40">
        <v>2</v>
      </c>
      <c r="I6" s="38" t="str">
        <f>CONCATENATE(H6," - ",G6)</f>
        <v>2 - Low</v>
      </c>
      <c r="J6" s="39" t="str">
        <f>'[1]Impact and Probability Metrics'!E18</f>
        <v>Low</v>
      </c>
      <c r="K6" s="40">
        <f>'[1]Impact and Probability Metrics'!E17</f>
        <v>2</v>
      </c>
      <c r="L6" s="38" t="str">
        <f>CONCATENATE(K6," - ",J6)</f>
        <v>2 - Low</v>
      </c>
    </row>
    <row r="7" spans="1:12" ht="15.75" thickBot="1" x14ac:dyDescent="0.3">
      <c r="B7" s="35" t="s">
        <v>65</v>
      </c>
      <c r="D7" s="35" t="s">
        <v>64</v>
      </c>
      <c r="G7" s="39" t="str">
        <f>'[1]Impact and Probability Metrics'!F18</f>
        <v>Moderate</v>
      </c>
      <c r="H7" s="40">
        <v>3</v>
      </c>
      <c r="I7" s="38" t="str">
        <f>CONCATENATE(H7," - ",G7)</f>
        <v>3 - Moderate</v>
      </c>
      <c r="J7" s="39" t="str">
        <f>'[1]Impact and Probability Metrics'!F18</f>
        <v>Moderate</v>
      </c>
      <c r="K7" s="40">
        <f>'[1]Impact and Probability Metrics'!F17</f>
        <v>4</v>
      </c>
      <c r="L7" s="38" t="str">
        <f>CONCATENATE(K7," - ",J7)</f>
        <v>4 - Moderate</v>
      </c>
    </row>
    <row r="8" spans="1:12" ht="15.75" thickBot="1" x14ac:dyDescent="0.3">
      <c r="B8" s="35" t="s">
        <v>109</v>
      </c>
      <c r="D8" s="36" t="s">
        <v>65</v>
      </c>
      <c r="G8" s="39" t="str">
        <f>'[1]Impact and Probability Metrics'!G18</f>
        <v>High</v>
      </c>
      <c r="H8" s="40">
        <v>4</v>
      </c>
      <c r="I8" s="38" t="str">
        <f>CONCATENATE(H8," - ",G8)</f>
        <v>4 - High</v>
      </c>
      <c r="J8" s="39" t="str">
        <f>'[1]Impact and Probability Metrics'!G18</f>
        <v>High</v>
      </c>
      <c r="K8" s="40">
        <f>'[1]Impact and Probability Metrics'!G17</f>
        <v>7</v>
      </c>
      <c r="L8" s="38" t="str">
        <f>CONCATENATE(K8," - ",J8)</f>
        <v>7 - High</v>
      </c>
    </row>
    <row r="9" spans="1:12" ht="15.75" thickBot="1" x14ac:dyDescent="0.3">
      <c r="B9" s="35" t="s">
        <v>89</v>
      </c>
      <c r="G9" s="41" t="str">
        <f>'[1]Impact and Probability Metrics'!H18</f>
        <v>Very High</v>
      </c>
      <c r="H9" s="42">
        <v>5</v>
      </c>
      <c r="I9" s="38" t="str">
        <f>CONCATENATE(H9," - ",G9)</f>
        <v>5 - Very High</v>
      </c>
      <c r="J9" s="41" t="str">
        <f>'[1]Impact and Probability Metrics'!H18</f>
        <v>Very High</v>
      </c>
      <c r="K9" s="42">
        <f>'[1]Impact and Probability Metrics'!H17</f>
        <v>10</v>
      </c>
      <c r="L9" s="38" t="str">
        <f>CONCATENATE(K9," - ",J9)</f>
        <v>10 - Very High</v>
      </c>
    </row>
    <row r="10" spans="1:12" x14ac:dyDescent="0.25">
      <c r="B10" s="35" t="s">
        <v>134</v>
      </c>
    </row>
    <row r="11" spans="1:12" x14ac:dyDescent="0.25">
      <c r="B11" s="35" t="s">
        <v>101</v>
      </c>
      <c r="D11" s="174" t="s">
        <v>138</v>
      </c>
    </row>
    <row r="12" spans="1:12" x14ac:dyDescent="0.25">
      <c r="B12" s="35" t="s">
        <v>98</v>
      </c>
      <c r="D12" s="173" t="s">
        <v>65</v>
      </c>
    </row>
    <row r="13" spans="1:12" x14ac:dyDescent="0.25">
      <c r="B13" s="35" t="s">
        <v>111</v>
      </c>
      <c r="D13" s="173" t="s">
        <v>136</v>
      </c>
    </row>
    <row r="14" spans="1:12" x14ac:dyDescent="0.25">
      <c r="B14" s="35" t="s">
        <v>105</v>
      </c>
      <c r="D14" s="173" t="s">
        <v>135</v>
      </c>
    </row>
    <row r="15" spans="1:12" x14ac:dyDescent="0.25">
      <c r="B15" s="35" t="s">
        <v>107</v>
      </c>
      <c r="D15" s="173" t="s">
        <v>134</v>
      </c>
    </row>
    <row r="16" spans="1:12" x14ac:dyDescent="0.25">
      <c r="B16" s="35" t="s">
        <v>110</v>
      </c>
      <c r="D16" s="173" t="s">
        <v>197</v>
      </c>
    </row>
    <row r="17" spans="2:9" x14ac:dyDescent="0.25">
      <c r="B17" s="35" t="s">
        <v>92</v>
      </c>
      <c r="D17" s="173" t="s">
        <v>60</v>
      </c>
    </row>
    <row r="18" spans="2:9" x14ac:dyDescent="0.25">
      <c r="B18" s="35" t="s">
        <v>60</v>
      </c>
      <c r="D18" s="173" t="s">
        <v>137</v>
      </c>
    </row>
    <row r="19" spans="2:9" x14ac:dyDescent="0.25">
      <c r="B19" s="35" t="s">
        <v>108</v>
      </c>
    </row>
    <row r="20" spans="2:9" x14ac:dyDescent="0.25">
      <c r="B20" s="35" t="s">
        <v>123</v>
      </c>
      <c r="D20" s="173" t="s">
        <v>148</v>
      </c>
    </row>
    <row r="21" spans="2:9" x14ac:dyDescent="0.25">
      <c r="B21" s="35" t="s">
        <v>91</v>
      </c>
      <c r="D21" s="173" t="s">
        <v>149</v>
      </c>
    </row>
    <row r="22" spans="2:9" x14ac:dyDescent="0.25">
      <c r="B22" s="35" t="s">
        <v>90</v>
      </c>
      <c r="D22" s="173" t="s">
        <v>150</v>
      </c>
    </row>
    <row r="23" spans="2:9" x14ac:dyDescent="0.25">
      <c r="B23" s="35" t="s">
        <v>112</v>
      </c>
      <c r="D23" s="173" t="s">
        <v>151</v>
      </c>
    </row>
    <row r="24" spans="2:9" ht="15.75" thickBot="1" x14ac:dyDescent="0.3">
      <c r="B24" s="36" t="s">
        <v>77</v>
      </c>
    </row>
    <row r="26" spans="2:9" ht="15.75" thickBot="1" x14ac:dyDescent="0.3"/>
    <row r="27" spans="2:9" ht="15.75" thickBot="1" x14ac:dyDescent="0.3">
      <c r="B27" s="46" t="s">
        <v>74</v>
      </c>
      <c r="D27" s="118"/>
      <c r="G27" s="118"/>
      <c r="H27" s="120"/>
      <c r="I27" s="118"/>
    </row>
    <row r="28" spans="2:9" ht="15.75" x14ac:dyDescent="0.25">
      <c r="B28" s="34" t="s">
        <v>66</v>
      </c>
      <c r="D28" s="119"/>
      <c r="G28" s="120"/>
      <c r="H28" s="120"/>
      <c r="I28" s="120"/>
    </row>
    <row r="29" spans="2:9" x14ac:dyDescent="0.25">
      <c r="B29" s="35" t="s">
        <v>67</v>
      </c>
      <c r="D29" s="120"/>
      <c r="G29" s="120"/>
      <c r="H29" s="120"/>
      <c r="I29" s="120"/>
    </row>
    <row r="30" spans="2:9" ht="15.75" x14ac:dyDescent="0.25">
      <c r="B30" s="35" t="s">
        <v>68</v>
      </c>
      <c r="D30" s="119"/>
      <c r="G30" s="120"/>
      <c r="H30" s="120"/>
      <c r="I30" s="120"/>
    </row>
    <row r="31" spans="2:9" x14ac:dyDescent="0.25">
      <c r="B31" s="35" t="s">
        <v>69</v>
      </c>
      <c r="D31" s="120"/>
      <c r="G31" s="120"/>
      <c r="H31" s="120"/>
      <c r="I31" s="120"/>
    </row>
    <row r="32" spans="2:9" x14ac:dyDescent="0.25">
      <c r="B32" s="35" t="s">
        <v>70</v>
      </c>
      <c r="D32" s="120"/>
      <c r="G32" s="120"/>
      <c r="H32" s="120"/>
      <c r="I32" s="120"/>
    </row>
    <row r="33" spans="2:9" x14ac:dyDescent="0.25">
      <c r="B33" s="35" t="s">
        <v>71</v>
      </c>
      <c r="D33" s="120"/>
      <c r="G33" s="120"/>
      <c r="H33" s="120"/>
      <c r="I33" s="120"/>
    </row>
    <row r="34" spans="2:9" x14ac:dyDescent="0.25">
      <c r="B34" s="35" t="s">
        <v>72</v>
      </c>
      <c r="D34" s="120"/>
      <c r="G34" s="120"/>
      <c r="H34" s="120"/>
      <c r="I34" s="120"/>
    </row>
    <row r="35" spans="2:9" ht="15.75" thickBot="1" x14ac:dyDescent="0.3">
      <c r="B35" s="36" t="s">
        <v>73</v>
      </c>
      <c r="D35" s="154"/>
    </row>
  </sheetData>
  <sortState ref="D12:D18">
    <sortCondition ref="D12"/>
  </sortState>
  <mergeCells count="2">
    <mergeCell ref="A1:F3"/>
    <mergeCell ref="G1:K3"/>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F0EA75B7E964E4F98E1FED3C8E87930" ma:contentTypeVersion="0" ma:contentTypeDescription="Create a new document." ma:contentTypeScope="" ma:versionID="d22726f6e123b5c4a17c5bbacd18dc86">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A27E05F3-F3C8-48B0-B191-1A4295194425}">
  <ds:schemaRefs>
    <ds:schemaRef ds:uri="http://schemas.microsoft.com/office/2006/metadata/properties"/>
    <ds:schemaRef ds:uri="http://purl.org/dc/elements/1.1/"/>
    <ds:schemaRef ds:uri="http://purl.org/dc/terms/"/>
    <ds:schemaRef ds:uri="http://schemas.microsoft.com/office/2006/documentManagement/types"/>
    <ds:schemaRef ds:uri="http://purl.org/dc/dcmitype/"/>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4F367BCF-7474-4380-8394-5C9488994ADB}">
  <ds:schemaRefs>
    <ds:schemaRef ds:uri="http://schemas.microsoft.com/sharepoint/v3/contenttype/forms"/>
  </ds:schemaRefs>
</ds:datastoreItem>
</file>

<file path=customXml/itemProps3.xml><?xml version="1.0" encoding="utf-8"?>
<ds:datastoreItem xmlns:ds="http://schemas.openxmlformats.org/officeDocument/2006/customXml" ds:itemID="{13F9E3AF-B020-41F0-9328-0E31526549C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11</vt:i4>
      </vt:variant>
    </vt:vector>
  </HeadingPairs>
  <TitlesOfParts>
    <vt:vector size="14" baseType="lpstr">
      <vt:lpstr>Risk Table</vt:lpstr>
      <vt:lpstr>Impact and Probability Metrics</vt:lpstr>
      <vt:lpstr>Data Validation Sheet</vt:lpstr>
      <vt:lpstr>ImpactRating</vt:lpstr>
      <vt:lpstr>iriskowner</vt:lpstr>
      <vt:lpstr>iriskowner2</vt:lpstr>
      <vt:lpstr>outcome</vt:lpstr>
      <vt:lpstr>rimp</vt:lpstr>
      <vt:lpstr>rimpact</vt:lpstr>
      <vt:lpstr>rimpactnumber</vt:lpstr>
      <vt:lpstr>rmayoccurin</vt:lpstr>
      <vt:lpstr>rprob</vt:lpstr>
      <vt:lpstr>rprobability</vt:lpstr>
      <vt:lpstr>rstrategy</vt:lpstr>
    </vt:vector>
  </TitlesOfParts>
  <Company>NJDOT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Dan Higgins</cp:lastModifiedBy>
  <cp:lastPrinted>2016-10-28T15:56:32Z</cp:lastPrinted>
  <dcterms:created xsi:type="dcterms:W3CDTF">2013-03-12T11:30:12Z</dcterms:created>
  <dcterms:modified xsi:type="dcterms:W3CDTF">2017-01-03T18:12:16Z</dcterms:modified>
</cp:coreProperties>
</file>